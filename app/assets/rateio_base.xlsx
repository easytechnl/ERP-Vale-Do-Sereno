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Repositório de Dados\CIDA\VALE DO  SERENO I\Associação das Residências e Condomínios do Vale do Sereno\Financeiro\Boletos\"/>
    </mc:Choice>
  </mc:AlternateContent>
  <xr:revisionPtr revIDLastSave="0" documentId="13_ncr:1_{2111CCD4-B29D-4D45-AEF3-6C3346801D48}" xr6:coauthVersionLast="47" xr6:coauthVersionMax="47" xr10:uidLastSave="{00000000-0000-0000-0000-000000000000}"/>
  <bookViews>
    <workbookView xWindow="-120" yWindow="-120" windowWidth="20730" windowHeight="11310" firstSheet="21" activeTab="22" xr2:uid="{00000000-000D-0000-FFFF-FFFF00000000}"/>
  </bookViews>
  <sheets>
    <sheet name="Jan_25" sheetId="1" r:id="rId1"/>
    <sheet name="Jan_25 - PSAC E FRANENGE" sheetId="2" r:id="rId2"/>
    <sheet name="Fev_25" sheetId="5" r:id="rId3"/>
    <sheet name="Fev_25 - PSAC E FRANENGE" sheetId="6" r:id="rId4"/>
    <sheet name="Mar_25" sheetId="7" r:id="rId5"/>
    <sheet name="Mar_25 - PSAC E FRANENGE" sheetId="8" r:id="rId6"/>
    <sheet name="Abr_25" sheetId="11" r:id="rId7"/>
    <sheet name="Abr_25 - PSAC E FRANENGE" sheetId="12" r:id="rId8"/>
    <sheet name="Mai_25" sheetId="14" r:id="rId9"/>
    <sheet name="Mai_25 - PSAC E FRANENGE" sheetId="15" r:id="rId10"/>
    <sheet name="Jun_25" sheetId="16" r:id="rId11"/>
    <sheet name="Jun_25 - PSAC E FRANENGE" sheetId="17" r:id="rId12"/>
    <sheet name="Jul_25 " sheetId="19" r:id="rId13"/>
    <sheet name="Jul_25 - PSAC E FRANENGE" sheetId="20" r:id="rId14"/>
    <sheet name="Ago_25" sheetId="21" r:id="rId15"/>
    <sheet name="Ago_25 - PSAC" sheetId="22" r:id="rId16"/>
    <sheet name="Set_25" sheetId="24" r:id="rId17"/>
    <sheet name="Set_25 - PSAC" sheetId="25" r:id="rId18"/>
    <sheet name="Out_25 " sheetId="27" r:id="rId19"/>
    <sheet name="Out_25 - PSAC" sheetId="28" r:id="rId20"/>
    <sheet name="Nov_25" sheetId="29" r:id="rId21"/>
    <sheet name="Nov_25 -PSAC" sheetId="30" r:id="rId22"/>
    <sheet name="Dez_25" sheetId="32" r:id="rId23"/>
    <sheet name="Dez_25 - PSAC" sheetId="34" r:id="rId24"/>
    <sheet name="Nov_25 -Simulação" sheetId="31" r:id="rId25"/>
    <sheet name="Ago_25 - UNIMED" sheetId="23" r:id="rId26"/>
    <sheet name="Abr_25 -JHM - Metropolitana" sheetId="13" r:id="rId27"/>
    <sheet name="Jan_25 SIMULAÇÃO CAPARAÓ" sheetId="3" r:id="rId28"/>
    <sheet name="Fev_25 - Tutor" sheetId="4" r:id="rId29"/>
    <sheet name="Mar_25 Simulação SOl" sheetId="9" r:id="rId30"/>
    <sheet name="Mar_25 Simulação SOl (2)" sheetId="10" r:id="rId31"/>
    <sheet name="Jun_25 - PSAC E FRANENGE (2)" sheetId="18" r:id="rId32"/>
    <sheet name="Set_25 (2)" sheetId="26" r:id="rId33"/>
  </sheets>
  <definedNames>
    <definedName name="_xlnm._FilterDatabase" localSheetId="26" hidden="1">'Abr_25 -JHM - Metropolitana'!$A$17:$H$63</definedName>
    <definedName name="_xlnm._FilterDatabase" localSheetId="22" hidden="1">Dez_25!$A$23:$L$68</definedName>
    <definedName name="_xlnm._FilterDatabase" localSheetId="23" hidden="1">'Dez_25 - PSAC'!$A$23:$L$69</definedName>
    <definedName name="_xlnm._FilterDatabase" localSheetId="20" hidden="1">Nov_25!$A$19:$L$64</definedName>
    <definedName name="_xlnm._FilterDatabase" localSheetId="21" hidden="1">'Nov_25 -PSAC'!$A$19:$L$65</definedName>
    <definedName name="_xlnm._FilterDatabase" localSheetId="24" hidden="1">'Nov_25 -Simulação'!$A$19:$L$68</definedName>
    <definedName name="_xlnm._FilterDatabase" localSheetId="18" hidden="1">'Out_25 '!$A$19:$L$65</definedName>
    <definedName name="_xlnm.Print_Area" localSheetId="28">'Fev_25 - Tutor'!$A$1:$H$128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" i="34" l="1"/>
  <c r="E25" i="34"/>
  <c r="F25" i="34" s="1"/>
  <c r="E26" i="34"/>
  <c r="F26" i="34" s="1"/>
  <c r="E27" i="34"/>
  <c r="F27" i="34" s="1"/>
  <c r="E28" i="34"/>
  <c r="F28" i="34" s="1"/>
  <c r="E29" i="34"/>
  <c r="F29" i="34" s="1"/>
  <c r="E30" i="34"/>
  <c r="F30" i="34" s="1"/>
  <c r="E31" i="34"/>
  <c r="F31" i="34" s="1"/>
  <c r="E32" i="34"/>
  <c r="F32" i="34" s="1"/>
  <c r="E33" i="34"/>
  <c r="F33" i="34" s="1"/>
  <c r="E34" i="34"/>
  <c r="F34" i="34" s="1"/>
  <c r="E35" i="34"/>
  <c r="F35" i="34" s="1"/>
  <c r="E36" i="34"/>
  <c r="F36" i="34" s="1"/>
  <c r="E37" i="34"/>
  <c r="F37" i="34" s="1"/>
  <c r="E38" i="34"/>
  <c r="F38" i="34" s="1"/>
  <c r="E39" i="34"/>
  <c r="F39" i="34" s="1"/>
  <c r="E40" i="34"/>
  <c r="F40" i="34" s="1"/>
  <c r="E41" i="34"/>
  <c r="F41" i="34" s="1"/>
  <c r="E42" i="34"/>
  <c r="F42" i="34" s="1"/>
  <c r="E43" i="34"/>
  <c r="F43" i="34" s="1"/>
  <c r="E44" i="34"/>
  <c r="F44" i="34" s="1"/>
  <c r="E45" i="34"/>
  <c r="F45" i="34" s="1"/>
  <c r="E46" i="34"/>
  <c r="F46" i="34" s="1"/>
  <c r="E47" i="34"/>
  <c r="F47" i="34" s="1"/>
  <c r="E48" i="34"/>
  <c r="F48" i="34" s="1"/>
  <c r="E49" i="34"/>
  <c r="F49" i="34" s="1"/>
  <c r="E50" i="34"/>
  <c r="F50" i="34" s="1"/>
  <c r="E51" i="34"/>
  <c r="F51" i="34" s="1"/>
  <c r="E52" i="34"/>
  <c r="F52" i="34" s="1"/>
  <c r="E53" i="34"/>
  <c r="F53" i="34" s="1"/>
  <c r="E54" i="34"/>
  <c r="F54" i="34" s="1"/>
  <c r="E55" i="34"/>
  <c r="F55" i="34" s="1"/>
  <c r="E56" i="34"/>
  <c r="F56" i="34" s="1"/>
  <c r="E57" i="34"/>
  <c r="F57" i="34" s="1"/>
  <c r="E58" i="34"/>
  <c r="F58" i="34" s="1"/>
  <c r="E59" i="34"/>
  <c r="F59" i="34" s="1"/>
  <c r="E60" i="34"/>
  <c r="F60" i="34" s="1"/>
  <c r="E61" i="34"/>
  <c r="F61" i="34" s="1"/>
  <c r="E62" i="34"/>
  <c r="F62" i="34" s="1"/>
  <c r="E63" i="34"/>
  <c r="F63" i="34" s="1"/>
  <c r="E64" i="34"/>
  <c r="F64" i="34" s="1"/>
  <c r="E65" i="34"/>
  <c r="F65" i="34" s="1"/>
  <c r="E66" i="34"/>
  <c r="F66" i="34" s="1"/>
  <c r="E67" i="34"/>
  <c r="F67" i="34" s="1"/>
  <c r="E68" i="34"/>
  <c r="F68" i="34" s="1"/>
  <c r="D68" i="34"/>
  <c r="D66" i="34"/>
  <c r="D63" i="34"/>
  <c r="D33" i="34"/>
  <c r="D32" i="34"/>
  <c r="F6" i="34"/>
  <c r="F5" i="34"/>
  <c r="F3" i="34"/>
  <c r="F22" i="34" s="1"/>
  <c r="F25" i="32"/>
  <c r="F26" i="32"/>
  <c r="F27" i="32"/>
  <c r="F28" i="32"/>
  <c r="F29" i="32"/>
  <c r="F30" i="32"/>
  <c r="F31" i="32"/>
  <c r="F32" i="32"/>
  <c r="F33" i="32"/>
  <c r="F34" i="32"/>
  <c r="F35" i="32"/>
  <c r="F36" i="32"/>
  <c r="F37" i="32"/>
  <c r="F38" i="32"/>
  <c r="F39" i="32"/>
  <c r="F40" i="32"/>
  <c r="F41" i="32"/>
  <c r="F42" i="32"/>
  <c r="F43" i="32"/>
  <c r="F44" i="32"/>
  <c r="F45" i="32"/>
  <c r="F46" i="32"/>
  <c r="F47" i="32"/>
  <c r="F48" i="32"/>
  <c r="F49" i="32"/>
  <c r="F50" i="32"/>
  <c r="F51" i="32"/>
  <c r="F52" i="32"/>
  <c r="F53" i="32"/>
  <c r="F54" i="32"/>
  <c r="F55" i="32"/>
  <c r="F56" i="32"/>
  <c r="F57" i="32"/>
  <c r="F58" i="32"/>
  <c r="F59" i="32"/>
  <c r="F60" i="32"/>
  <c r="F61" i="32"/>
  <c r="F62" i="32"/>
  <c r="F63" i="32"/>
  <c r="F64" i="32"/>
  <c r="F65" i="32"/>
  <c r="F66" i="32"/>
  <c r="F67" i="32"/>
  <c r="E25" i="32"/>
  <c r="E26" i="32"/>
  <c r="E27" i="32"/>
  <c r="E28" i="32"/>
  <c r="E29" i="32"/>
  <c r="E30" i="32"/>
  <c r="E31" i="32"/>
  <c r="E32" i="32"/>
  <c r="E33" i="32"/>
  <c r="E34" i="32"/>
  <c r="E35" i="32"/>
  <c r="E36" i="32"/>
  <c r="E37" i="32"/>
  <c r="E38" i="32"/>
  <c r="E39" i="32"/>
  <c r="E40" i="32"/>
  <c r="E41" i="32"/>
  <c r="E42" i="32"/>
  <c r="E43" i="32"/>
  <c r="E44" i="32"/>
  <c r="E45" i="32"/>
  <c r="E46" i="32"/>
  <c r="E47" i="32"/>
  <c r="E48" i="32"/>
  <c r="E49" i="32"/>
  <c r="E50" i="32"/>
  <c r="E51" i="32"/>
  <c r="E52" i="32"/>
  <c r="E53" i="32"/>
  <c r="E54" i="32"/>
  <c r="E55" i="32"/>
  <c r="E56" i="32"/>
  <c r="E57" i="32"/>
  <c r="E58" i="32"/>
  <c r="E59" i="32"/>
  <c r="E60" i="32"/>
  <c r="E61" i="32"/>
  <c r="E62" i="32"/>
  <c r="E63" i="32"/>
  <c r="E64" i="32"/>
  <c r="E65" i="32"/>
  <c r="E66" i="32"/>
  <c r="E67" i="32"/>
  <c r="D67" i="32"/>
  <c r="F3" i="32"/>
  <c r="D65" i="32"/>
  <c r="D62" i="32"/>
  <c r="D33" i="32"/>
  <c r="D32" i="32"/>
  <c r="F6" i="32"/>
  <c r="F5" i="32"/>
  <c r="F22" i="32"/>
  <c r="H21" i="31"/>
  <c r="H22" i="31"/>
  <c r="H23" i="31"/>
  <c r="H24" i="31"/>
  <c r="H25" i="31"/>
  <c r="H26" i="31"/>
  <c r="H27" i="31"/>
  <c r="H28" i="31"/>
  <c r="H29" i="31"/>
  <c r="H30" i="31"/>
  <c r="H31" i="31"/>
  <c r="H32" i="31"/>
  <c r="H33" i="31"/>
  <c r="H34" i="31"/>
  <c r="H35" i="31"/>
  <c r="H36" i="31"/>
  <c r="H37" i="31"/>
  <c r="H38" i="31"/>
  <c r="H39" i="31"/>
  <c r="H40" i="31"/>
  <c r="H41" i="31"/>
  <c r="H42" i="31"/>
  <c r="H43" i="31"/>
  <c r="G37" i="31"/>
  <c r="G38" i="31"/>
  <c r="G39" i="31"/>
  <c r="G40" i="31"/>
  <c r="G41" i="31"/>
  <c r="G42" i="31"/>
  <c r="G23" i="31"/>
  <c r="G24" i="31"/>
  <c r="G25" i="31"/>
  <c r="G26" i="31"/>
  <c r="G27" i="31"/>
  <c r="G28" i="31"/>
  <c r="G29" i="31"/>
  <c r="G30" i="31"/>
  <c r="G31" i="31"/>
  <c r="G32" i="31"/>
  <c r="G33" i="31"/>
  <c r="G34" i="31"/>
  <c r="G35" i="31"/>
  <c r="G36" i="31"/>
  <c r="F43" i="31"/>
  <c r="F44" i="31"/>
  <c r="F45" i="31"/>
  <c r="F46" i="31"/>
  <c r="F47" i="31"/>
  <c r="F48" i="31"/>
  <c r="F49" i="31"/>
  <c r="F50" i="31"/>
  <c r="F51" i="31"/>
  <c r="F52" i="31"/>
  <c r="F53" i="31"/>
  <c r="F54" i="31"/>
  <c r="F55" i="31"/>
  <c r="F56" i="31"/>
  <c r="F57" i="31"/>
  <c r="F58" i="31"/>
  <c r="F59" i="31"/>
  <c r="F60" i="31"/>
  <c r="F61" i="31"/>
  <c r="F62" i="31"/>
  <c r="F63" i="31"/>
  <c r="F64" i="31"/>
  <c r="F65" i="31"/>
  <c r="F66" i="31"/>
  <c r="F67" i="31"/>
  <c r="F37" i="31"/>
  <c r="F38" i="31"/>
  <c r="F39" i="31"/>
  <c r="F40" i="31"/>
  <c r="F41" i="31"/>
  <c r="F4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E44" i="31"/>
  <c r="E45" i="31"/>
  <c r="E46" i="31"/>
  <c r="E47" i="31"/>
  <c r="E48" i="31"/>
  <c r="E49" i="31"/>
  <c r="E50" i="31"/>
  <c r="E51" i="31"/>
  <c r="E52" i="31"/>
  <c r="E53" i="31"/>
  <c r="E54" i="31"/>
  <c r="E55" i="31"/>
  <c r="E56" i="31"/>
  <c r="E57" i="31"/>
  <c r="E58" i="31"/>
  <c r="E59" i="31"/>
  <c r="E60" i="31"/>
  <c r="E61" i="31"/>
  <c r="E62" i="31"/>
  <c r="E63" i="31"/>
  <c r="E64" i="31"/>
  <c r="E65" i="31"/>
  <c r="E66" i="31"/>
  <c r="E67" i="31"/>
  <c r="E21" i="31"/>
  <c r="E22" i="31"/>
  <c r="E23" i="31"/>
  <c r="E24" i="31"/>
  <c r="E25" i="31"/>
  <c r="E26" i="31"/>
  <c r="E27" i="31"/>
  <c r="E28" i="31"/>
  <c r="E29" i="31"/>
  <c r="E30" i="31"/>
  <c r="E31" i="31"/>
  <c r="E32" i="31"/>
  <c r="E33" i="31"/>
  <c r="E34" i="31"/>
  <c r="E35" i="31"/>
  <c r="E36" i="31"/>
  <c r="E37" i="31"/>
  <c r="E38" i="31"/>
  <c r="E39" i="31"/>
  <c r="E40" i="31"/>
  <c r="E41" i="31"/>
  <c r="E42" i="31"/>
  <c r="E43" i="31"/>
  <c r="D67" i="31"/>
  <c r="D65" i="31"/>
  <c r="D62" i="31"/>
  <c r="D29" i="31"/>
  <c r="D28" i="31"/>
  <c r="F6" i="31"/>
  <c r="F5" i="31"/>
  <c r="F3" i="31"/>
  <c r="F18" i="31" s="1"/>
  <c r="F18" i="29"/>
  <c r="F55" i="30"/>
  <c r="F56" i="30"/>
  <c r="F57" i="30"/>
  <c r="F58" i="30"/>
  <c r="F59" i="30"/>
  <c r="F60" i="30"/>
  <c r="F61" i="30"/>
  <c r="F62" i="30"/>
  <c r="F63" i="30"/>
  <c r="F64" i="30"/>
  <c r="E55" i="30"/>
  <c r="E56" i="30"/>
  <c r="E57" i="30"/>
  <c r="E58" i="30"/>
  <c r="E59" i="30"/>
  <c r="E60" i="30"/>
  <c r="E61" i="30"/>
  <c r="E62" i="30"/>
  <c r="E63" i="30"/>
  <c r="E64" i="30"/>
  <c r="D59" i="30"/>
  <c r="D62" i="30"/>
  <c r="D64" i="30"/>
  <c r="D29" i="30"/>
  <c r="D28" i="30"/>
  <c r="F18" i="30"/>
  <c r="F6" i="30"/>
  <c r="F5" i="30"/>
  <c r="F3" i="30"/>
  <c r="F5" i="29"/>
  <c r="F3" i="29"/>
  <c r="D61" i="29"/>
  <c r="D63" i="29"/>
  <c r="D58" i="29"/>
  <c r="D29" i="29"/>
  <c r="D28" i="29"/>
  <c r="F6" i="29"/>
  <c r="H64" i="24"/>
  <c r="F64" i="24"/>
  <c r="F65" i="24"/>
  <c r="F66" i="24"/>
  <c r="E54" i="24"/>
  <c r="E55" i="24"/>
  <c r="E56" i="24"/>
  <c r="E57" i="24"/>
  <c r="E58" i="24"/>
  <c r="E59" i="24"/>
  <c r="E60" i="24"/>
  <c r="E61" i="24"/>
  <c r="E62" i="24"/>
  <c r="E63" i="24"/>
  <c r="E64" i="24"/>
  <c r="E65" i="24"/>
  <c r="E66" i="24"/>
  <c r="F21" i="28"/>
  <c r="F22" i="28"/>
  <c r="F23" i="28"/>
  <c r="F24" i="28"/>
  <c r="F25" i="28"/>
  <c r="F26" i="28"/>
  <c r="F27" i="28"/>
  <c r="F28" i="28"/>
  <c r="F29" i="28"/>
  <c r="F30" i="28"/>
  <c r="F31" i="28"/>
  <c r="F32" i="28"/>
  <c r="F33" i="28"/>
  <c r="F34" i="28"/>
  <c r="F35" i="28"/>
  <c r="F36" i="28"/>
  <c r="F37" i="28"/>
  <c r="F38" i="28"/>
  <c r="F39" i="28"/>
  <c r="F40" i="28"/>
  <c r="F41" i="28"/>
  <c r="F42" i="28"/>
  <c r="F43" i="28"/>
  <c r="F44" i="28"/>
  <c r="F45" i="28"/>
  <c r="F46" i="28"/>
  <c r="F47" i="28"/>
  <c r="F48" i="28"/>
  <c r="F49" i="28"/>
  <c r="F50" i="28"/>
  <c r="F51" i="28"/>
  <c r="F52" i="28"/>
  <c r="F53" i="28"/>
  <c r="F54" i="28"/>
  <c r="F55" i="28"/>
  <c r="F56" i="28"/>
  <c r="F57" i="28"/>
  <c r="F58" i="28"/>
  <c r="F59" i="28"/>
  <c r="F60" i="28"/>
  <c r="F61" i="28"/>
  <c r="F62" i="28"/>
  <c r="F63" i="28"/>
  <c r="F64" i="28"/>
  <c r="F65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58" i="28"/>
  <c r="E59" i="28"/>
  <c r="E60" i="28"/>
  <c r="E61" i="28"/>
  <c r="E62" i="28"/>
  <c r="E63" i="28"/>
  <c r="E64" i="28"/>
  <c r="E65" i="28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D65" i="28"/>
  <c r="D61" i="28"/>
  <c r="D29" i="28"/>
  <c r="D28" i="28"/>
  <c r="F6" i="28"/>
  <c r="F5" i="28"/>
  <c r="F3" i="28"/>
  <c r="G62" i="34" l="1"/>
  <c r="H62" i="34" s="1"/>
  <c r="D68" i="32"/>
  <c r="D68" i="31"/>
  <c r="G57" i="30"/>
  <c r="H57" i="30" s="1"/>
  <c r="D65" i="30"/>
  <c r="E28" i="30" s="1"/>
  <c r="F28" i="30" s="1"/>
  <c r="D64" i="29"/>
  <c r="G64" i="24"/>
  <c r="D66" i="28"/>
  <c r="F18" i="28"/>
  <c r="E20" i="28"/>
  <c r="F6" i="27"/>
  <c r="F5" i="27"/>
  <c r="E24" i="34" l="1"/>
  <c r="G25" i="34"/>
  <c r="H25" i="34" s="1"/>
  <c r="G26" i="34"/>
  <c r="H26" i="34" s="1"/>
  <c r="G27" i="34"/>
  <c r="H27" i="34"/>
  <c r="G36" i="34"/>
  <c r="H36" i="34" s="1"/>
  <c r="G38" i="34"/>
  <c r="H38" i="34"/>
  <c r="G44" i="34"/>
  <c r="H44" i="34" s="1"/>
  <c r="G46" i="34"/>
  <c r="H46" i="34" s="1"/>
  <c r="G50" i="34"/>
  <c r="H50" i="34" s="1"/>
  <c r="G60" i="34"/>
  <c r="H60" i="34"/>
  <c r="G63" i="34"/>
  <c r="H63" i="34"/>
  <c r="G31" i="34"/>
  <c r="H31" i="34" s="1"/>
  <c r="G33" i="34"/>
  <c r="H33" i="34" s="1"/>
  <c r="G34" i="34"/>
  <c r="H34" i="34"/>
  <c r="G37" i="34"/>
  <c r="H37" i="34" s="1"/>
  <c r="G39" i="34"/>
  <c r="H39" i="34"/>
  <c r="G41" i="34"/>
  <c r="H41" i="34" s="1"/>
  <c r="G42" i="34"/>
  <c r="H42" i="34" s="1"/>
  <c r="G43" i="34"/>
  <c r="H43" i="34"/>
  <c r="G47" i="34"/>
  <c r="H47" i="34" s="1"/>
  <c r="G48" i="34"/>
  <c r="H48" i="34" s="1"/>
  <c r="G49" i="34"/>
  <c r="H49" i="34"/>
  <c r="G51" i="34"/>
  <c r="H51" i="34" s="1"/>
  <c r="G52" i="34"/>
  <c r="H52" i="34" s="1"/>
  <c r="G53" i="34"/>
  <c r="H53" i="34" s="1"/>
  <c r="G54" i="34"/>
  <c r="H54" i="34" s="1"/>
  <c r="G55" i="34"/>
  <c r="H55" i="34" s="1"/>
  <c r="G56" i="34"/>
  <c r="H56" i="34" s="1"/>
  <c r="G57" i="34"/>
  <c r="H57" i="34" s="1"/>
  <c r="G58" i="34"/>
  <c r="H58" i="34"/>
  <c r="G59" i="34"/>
  <c r="H59" i="34"/>
  <c r="G61" i="34"/>
  <c r="H61" i="34" s="1"/>
  <c r="G64" i="34"/>
  <c r="H64" i="34"/>
  <c r="G65" i="34"/>
  <c r="H65" i="34"/>
  <c r="G66" i="34"/>
  <c r="H66" i="34" s="1"/>
  <c r="G67" i="34"/>
  <c r="H67" i="34"/>
  <c r="G68" i="34"/>
  <c r="H68" i="34"/>
  <c r="G28" i="34"/>
  <c r="H28" i="34" s="1"/>
  <c r="G29" i="34"/>
  <c r="H29" i="34" s="1"/>
  <c r="G30" i="34"/>
  <c r="H30" i="34" s="1"/>
  <c r="G32" i="34"/>
  <c r="H32" i="34" s="1"/>
  <c r="G35" i="34"/>
  <c r="H35" i="34" s="1"/>
  <c r="G40" i="34"/>
  <c r="H40" i="34" s="1"/>
  <c r="G45" i="34"/>
  <c r="H45" i="34" s="1"/>
  <c r="G32" i="32"/>
  <c r="H32" i="32" s="1"/>
  <c r="G33" i="32"/>
  <c r="H33" i="32" s="1"/>
  <c r="G62" i="32"/>
  <c r="H62" i="32" s="1"/>
  <c r="G65" i="32"/>
  <c r="H65" i="32" s="1"/>
  <c r="G67" i="32"/>
  <c r="H67" i="32" s="1"/>
  <c r="G42" i="32"/>
  <c r="H42" i="32" s="1"/>
  <c r="G43" i="32"/>
  <c r="H43" i="32" s="1"/>
  <c r="G45" i="32"/>
  <c r="H45" i="32" s="1"/>
  <c r="G46" i="32"/>
  <c r="H46" i="32" s="1"/>
  <c r="G47" i="32"/>
  <c r="H47" i="32" s="1"/>
  <c r="G52" i="32"/>
  <c r="H52" i="32" s="1"/>
  <c r="G59" i="32"/>
  <c r="H59" i="32" s="1"/>
  <c r="G60" i="32"/>
  <c r="H60" i="32" s="1"/>
  <c r="E24" i="32"/>
  <c r="F24" i="32" s="1"/>
  <c r="G25" i="32"/>
  <c r="H25" i="32" s="1"/>
  <c r="G26" i="32"/>
  <c r="H26" i="32" s="1"/>
  <c r="G27" i="32"/>
  <c r="H27" i="32" s="1"/>
  <c r="G28" i="32"/>
  <c r="H28" i="32" s="1"/>
  <c r="G29" i="32"/>
  <c r="H29" i="32" s="1"/>
  <c r="G30" i="32"/>
  <c r="H30" i="32" s="1"/>
  <c r="G34" i="32"/>
  <c r="H34" i="32" s="1"/>
  <c r="G35" i="32"/>
  <c r="H35" i="32" s="1"/>
  <c r="G38" i="32"/>
  <c r="H38" i="32" s="1"/>
  <c r="G39" i="32"/>
  <c r="H39" i="32" s="1"/>
  <c r="G40" i="32"/>
  <c r="H40" i="32" s="1"/>
  <c r="G44" i="32"/>
  <c r="H44" i="32" s="1"/>
  <c r="G48" i="32"/>
  <c r="H48" i="32" s="1"/>
  <c r="G49" i="32"/>
  <c r="H49" i="32" s="1"/>
  <c r="G50" i="32"/>
  <c r="H50" i="32" s="1"/>
  <c r="G51" i="32"/>
  <c r="H51" i="32" s="1"/>
  <c r="G53" i="32"/>
  <c r="H53" i="32" s="1"/>
  <c r="G54" i="32"/>
  <c r="H54" i="32" s="1"/>
  <c r="G55" i="32"/>
  <c r="H55" i="32" s="1"/>
  <c r="G56" i="32"/>
  <c r="H56" i="32" s="1"/>
  <c r="G57" i="32"/>
  <c r="H57" i="32" s="1"/>
  <c r="G58" i="32"/>
  <c r="H58" i="32" s="1"/>
  <c r="G61" i="32"/>
  <c r="H61" i="32" s="1"/>
  <c r="G63" i="32"/>
  <c r="H63" i="32" s="1"/>
  <c r="G64" i="32"/>
  <c r="H64" i="32" s="1"/>
  <c r="G66" i="32"/>
  <c r="H66" i="32" s="1"/>
  <c r="E20" i="31"/>
  <c r="F21" i="31"/>
  <c r="F22" i="31"/>
  <c r="G21" i="31"/>
  <c r="G22" i="31"/>
  <c r="G43" i="31"/>
  <c r="G44" i="31"/>
  <c r="H44" i="31" s="1"/>
  <c r="G46" i="31"/>
  <c r="H46" i="31"/>
  <c r="G49" i="31"/>
  <c r="H49" i="31" s="1"/>
  <c r="G52" i="31"/>
  <c r="H52" i="31" s="1"/>
  <c r="G55" i="31"/>
  <c r="H55" i="31" s="1"/>
  <c r="G48" i="31"/>
  <c r="H48" i="31" s="1"/>
  <c r="G51" i="31"/>
  <c r="H51" i="31" s="1"/>
  <c r="G54" i="31"/>
  <c r="H54" i="31" s="1"/>
  <c r="G57" i="31"/>
  <c r="H57" i="31" s="1"/>
  <c r="G66" i="31"/>
  <c r="H66" i="31" s="1"/>
  <c r="G67" i="31"/>
  <c r="H67" i="31" s="1"/>
  <c r="G45" i="31"/>
  <c r="H45" i="31" s="1"/>
  <c r="G47" i="31"/>
  <c r="H47" i="31" s="1"/>
  <c r="G50" i="31"/>
  <c r="H50" i="31" s="1"/>
  <c r="G53" i="31"/>
  <c r="H53" i="31" s="1"/>
  <c r="G56" i="31"/>
  <c r="H56" i="31" s="1"/>
  <c r="G58" i="31"/>
  <c r="H58" i="31" s="1"/>
  <c r="G59" i="31"/>
  <c r="H59" i="31" s="1"/>
  <c r="G61" i="31"/>
  <c r="H61" i="31" s="1"/>
  <c r="G62" i="31"/>
  <c r="H62" i="31" s="1"/>
  <c r="G63" i="31"/>
  <c r="H63" i="31" s="1"/>
  <c r="G64" i="31"/>
  <c r="H64" i="31" s="1"/>
  <c r="G65" i="31"/>
  <c r="H65" i="31" s="1"/>
  <c r="E26" i="29"/>
  <c r="F26" i="29" s="1"/>
  <c r="E32" i="29"/>
  <c r="F32" i="29" s="1"/>
  <c r="E38" i="29"/>
  <c r="F38" i="29" s="1"/>
  <c r="G38" i="29" s="1"/>
  <c r="H38" i="29" s="1"/>
  <c r="E44" i="29"/>
  <c r="F44" i="29" s="1"/>
  <c r="G44" i="29" s="1"/>
  <c r="H44" i="29" s="1"/>
  <c r="E50" i="29"/>
  <c r="F50" i="29" s="1"/>
  <c r="E56" i="29"/>
  <c r="F56" i="29" s="1"/>
  <c r="G56" i="29" s="1"/>
  <c r="H56" i="29" s="1"/>
  <c r="E62" i="29"/>
  <c r="F62" i="29" s="1"/>
  <c r="E28" i="29"/>
  <c r="F28" i="29" s="1"/>
  <c r="E46" i="29"/>
  <c r="F46" i="29" s="1"/>
  <c r="G46" i="29" s="1"/>
  <c r="H46" i="29" s="1"/>
  <c r="E35" i="29"/>
  <c r="F35" i="29" s="1"/>
  <c r="G35" i="29" s="1"/>
  <c r="H35" i="29" s="1"/>
  <c r="E47" i="29"/>
  <c r="F47" i="29" s="1"/>
  <c r="E59" i="29"/>
  <c r="F59" i="29" s="1"/>
  <c r="G59" i="29" s="1"/>
  <c r="H59" i="29" s="1"/>
  <c r="E30" i="29"/>
  <c r="F30" i="29" s="1"/>
  <c r="E42" i="29"/>
  <c r="F42" i="29" s="1"/>
  <c r="E54" i="29"/>
  <c r="F54" i="29" s="1"/>
  <c r="G54" i="29" s="1"/>
  <c r="H54" i="29" s="1"/>
  <c r="E37" i="29"/>
  <c r="F37" i="29" s="1"/>
  <c r="G37" i="29" s="1"/>
  <c r="H37" i="29" s="1"/>
  <c r="E49" i="29"/>
  <c r="F49" i="29" s="1"/>
  <c r="E21" i="29"/>
  <c r="F21" i="29" s="1"/>
  <c r="G21" i="29" s="1"/>
  <c r="H21" i="29" s="1"/>
  <c r="E27" i="29"/>
  <c r="F27" i="29" s="1"/>
  <c r="E33" i="29"/>
  <c r="F33" i="29" s="1"/>
  <c r="E39" i="29"/>
  <c r="F39" i="29" s="1"/>
  <c r="G39" i="29" s="1"/>
  <c r="H39" i="29" s="1"/>
  <c r="E45" i="29"/>
  <c r="F45" i="29" s="1"/>
  <c r="E51" i="29"/>
  <c r="F51" i="29" s="1"/>
  <c r="E57" i="29"/>
  <c r="F57" i="29" s="1"/>
  <c r="G57" i="29" s="1"/>
  <c r="H57" i="29" s="1"/>
  <c r="E63" i="29"/>
  <c r="F63" i="29" s="1"/>
  <c r="E22" i="29"/>
  <c r="F22" i="29" s="1"/>
  <c r="E34" i="29"/>
  <c r="F34" i="29" s="1"/>
  <c r="G34" i="29" s="1"/>
  <c r="H34" i="29" s="1"/>
  <c r="E40" i="29"/>
  <c r="F40" i="29" s="1"/>
  <c r="G40" i="29" s="1"/>
  <c r="H40" i="29" s="1"/>
  <c r="E52" i="29"/>
  <c r="F52" i="29" s="1"/>
  <c r="G52" i="29" s="1"/>
  <c r="H52" i="29" s="1"/>
  <c r="E58" i="29"/>
  <c r="F58" i="29" s="1"/>
  <c r="G58" i="29" s="1"/>
  <c r="H58" i="29" s="1"/>
  <c r="E23" i="29"/>
  <c r="F23" i="29" s="1"/>
  <c r="G23" i="29" s="1"/>
  <c r="H23" i="29" s="1"/>
  <c r="E29" i="29"/>
  <c r="F29" i="29" s="1"/>
  <c r="E41" i="29"/>
  <c r="F41" i="29" s="1"/>
  <c r="G41" i="29" s="1"/>
  <c r="H41" i="29" s="1"/>
  <c r="E53" i="29"/>
  <c r="F53" i="29" s="1"/>
  <c r="G53" i="29" s="1"/>
  <c r="H53" i="29" s="1"/>
  <c r="E24" i="29"/>
  <c r="F24" i="29" s="1"/>
  <c r="E36" i="29"/>
  <c r="F36" i="29" s="1"/>
  <c r="G36" i="29" s="1"/>
  <c r="H36" i="29" s="1"/>
  <c r="E48" i="29"/>
  <c r="F48" i="29" s="1"/>
  <c r="E60" i="29"/>
  <c r="F60" i="29" s="1"/>
  <c r="E25" i="29"/>
  <c r="F25" i="29" s="1"/>
  <c r="G25" i="29" s="1"/>
  <c r="H25" i="29" s="1"/>
  <c r="E31" i="29"/>
  <c r="F31" i="29" s="1"/>
  <c r="G31" i="29" s="1"/>
  <c r="H31" i="29" s="1"/>
  <c r="E43" i="29"/>
  <c r="F43" i="29" s="1"/>
  <c r="G43" i="29" s="1"/>
  <c r="H43" i="29" s="1"/>
  <c r="E55" i="29"/>
  <c r="F55" i="29" s="1"/>
  <c r="G55" i="29" s="1"/>
  <c r="H55" i="29" s="1"/>
  <c r="E61" i="29"/>
  <c r="F61" i="29" s="1"/>
  <c r="E29" i="30"/>
  <c r="F29" i="30" s="1"/>
  <c r="E30" i="30"/>
  <c r="F30" i="30" s="1"/>
  <c r="E33" i="30"/>
  <c r="F33" i="30" s="1"/>
  <c r="E35" i="30"/>
  <c r="F35" i="30" s="1"/>
  <c r="E37" i="30"/>
  <c r="F37" i="30" s="1"/>
  <c r="E41" i="30"/>
  <c r="F41" i="30" s="1"/>
  <c r="E20" i="30"/>
  <c r="E22" i="30"/>
  <c r="F22" i="30" s="1"/>
  <c r="E23" i="30"/>
  <c r="F23" i="30" s="1"/>
  <c r="E25" i="30"/>
  <c r="F25" i="30" s="1"/>
  <c r="E32" i="30"/>
  <c r="F32" i="30" s="1"/>
  <c r="E38" i="30"/>
  <c r="F38" i="30" s="1"/>
  <c r="E42" i="30"/>
  <c r="F42" i="30" s="1"/>
  <c r="E44" i="30"/>
  <c r="F44" i="30" s="1"/>
  <c r="E45" i="30"/>
  <c r="F45" i="30" s="1"/>
  <c r="G45" i="30" s="1"/>
  <c r="H45" i="30" s="1"/>
  <c r="E46" i="30"/>
  <c r="F46" i="30" s="1"/>
  <c r="E48" i="30"/>
  <c r="F48" i="30" s="1"/>
  <c r="G48" i="30" s="1"/>
  <c r="H48" i="30" s="1"/>
  <c r="E50" i="30"/>
  <c r="F50" i="30" s="1"/>
  <c r="E53" i="30"/>
  <c r="F53" i="30" s="1"/>
  <c r="G53" i="30" s="1"/>
  <c r="H53" i="30" s="1"/>
  <c r="E54" i="30"/>
  <c r="F54" i="30" s="1"/>
  <c r="G54" i="30" s="1"/>
  <c r="H54" i="30" s="1"/>
  <c r="E21" i="30"/>
  <c r="F21" i="30" s="1"/>
  <c r="E24" i="30"/>
  <c r="F24" i="30" s="1"/>
  <c r="E26" i="30"/>
  <c r="F26" i="30" s="1"/>
  <c r="E27" i="30"/>
  <c r="F27" i="30" s="1"/>
  <c r="E31" i="30"/>
  <c r="F31" i="30" s="1"/>
  <c r="E34" i="30"/>
  <c r="F34" i="30" s="1"/>
  <c r="E36" i="30"/>
  <c r="F36" i="30" s="1"/>
  <c r="E39" i="30"/>
  <c r="F39" i="30" s="1"/>
  <c r="E40" i="30"/>
  <c r="F40" i="30" s="1"/>
  <c r="E43" i="30"/>
  <c r="F43" i="30" s="1"/>
  <c r="E47" i="30"/>
  <c r="F47" i="30" s="1"/>
  <c r="E49" i="30"/>
  <c r="F49" i="30" s="1"/>
  <c r="E51" i="30"/>
  <c r="F51" i="30" s="1"/>
  <c r="E52" i="30"/>
  <c r="F52" i="30" s="1"/>
  <c r="G52" i="30"/>
  <c r="H52" i="30" s="1"/>
  <c r="G51" i="30"/>
  <c r="H51" i="30" s="1"/>
  <c r="G49" i="30"/>
  <c r="H49" i="30" s="1"/>
  <c r="G47" i="30"/>
  <c r="H47" i="30"/>
  <c r="G43" i="30"/>
  <c r="H43" i="30" s="1"/>
  <c r="G41" i="30"/>
  <c r="H41" i="30" s="1"/>
  <c r="G37" i="30"/>
  <c r="H37" i="30"/>
  <c r="G27" i="30"/>
  <c r="H27" i="30"/>
  <c r="G26" i="30"/>
  <c r="H26" i="30" s="1"/>
  <c r="G24" i="30"/>
  <c r="H24" i="30"/>
  <c r="G40" i="30"/>
  <c r="H40" i="30"/>
  <c r="G39" i="30"/>
  <c r="H39" i="30" s="1"/>
  <c r="G36" i="30"/>
  <c r="H36" i="30" s="1"/>
  <c r="G34" i="30"/>
  <c r="H34" i="30"/>
  <c r="G32" i="30"/>
  <c r="H32" i="30" s="1"/>
  <c r="G31" i="30"/>
  <c r="H31" i="30" s="1"/>
  <c r="G28" i="30"/>
  <c r="H28" i="30" s="1"/>
  <c r="G22" i="30"/>
  <c r="H22" i="30" s="1"/>
  <c r="G21" i="30"/>
  <c r="H21" i="30"/>
  <c r="G64" i="30"/>
  <c r="H64" i="30" s="1"/>
  <c r="G63" i="30"/>
  <c r="H63" i="30" s="1"/>
  <c r="G61" i="30"/>
  <c r="H61" i="30"/>
  <c r="G60" i="30"/>
  <c r="H60" i="30" s="1"/>
  <c r="G59" i="30"/>
  <c r="H59" i="30" s="1"/>
  <c r="G58" i="30"/>
  <c r="H58" i="30" s="1"/>
  <c r="G56" i="30"/>
  <c r="H56" i="30" s="1"/>
  <c r="G55" i="30"/>
  <c r="E20" i="29"/>
  <c r="G24" i="29"/>
  <c r="H24" i="29" s="1"/>
  <c r="G29" i="29"/>
  <c r="H29" i="29" s="1"/>
  <c r="G42" i="29"/>
  <c r="H42" i="29" s="1"/>
  <c r="G49" i="29"/>
  <c r="H49" i="29" s="1"/>
  <c r="G50" i="29"/>
  <c r="H50" i="29" s="1"/>
  <c r="G51" i="29"/>
  <c r="H51" i="29" s="1"/>
  <c r="G60" i="29"/>
  <c r="H60" i="29" s="1"/>
  <c r="G61" i="29"/>
  <c r="H61" i="29" s="1"/>
  <c r="G62" i="29"/>
  <c r="H62" i="29" s="1"/>
  <c r="G63" i="29"/>
  <c r="H63" i="29" s="1"/>
  <c r="G22" i="29"/>
  <c r="H22" i="29" s="1"/>
  <c r="G26" i="29"/>
  <c r="H26" i="29" s="1"/>
  <c r="G27" i="29"/>
  <c r="H27" i="29" s="1"/>
  <c r="G28" i="29"/>
  <c r="H28" i="29" s="1"/>
  <c r="G30" i="29"/>
  <c r="H30" i="29" s="1"/>
  <c r="G32" i="29"/>
  <c r="H32" i="29" s="1"/>
  <c r="G33" i="29"/>
  <c r="H33" i="29" s="1"/>
  <c r="G45" i="29"/>
  <c r="H45" i="29" s="1"/>
  <c r="G47" i="29"/>
  <c r="H47" i="29" s="1"/>
  <c r="G48" i="29"/>
  <c r="H48" i="29" s="1"/>
  <c r="G21" i="28"/>
  <c r="H21" i="28" s="1"/>
  <c r="G25" i="28"/>
  <c r="H25" i="28" s="1"/>
  <c r="G29" i="28"/>
  <c r="H29" i="28" s="1"/>
  <c r="G41" i="28"/>
  <c r="H41" i="28" s="1"/>
  <c r="G58" i="28"/>
  <c r="H58" i="28" s="1"/>
  <c r="G48" i="28"/>
  <c r="H48" i="28" s="1"/>
  <c r="G61" i="28"/>
  <c r="H61" i="28" s="1"/>
  <c r="G22" i="28"/>
  <c r="H22" i="28" s="1"/>
  <c r="G30" i="28"/>
  <c r="H30" i="28" s="1"/>
  <c r="G46" i="28"/>
  <c r="H46" i="28" s="1"/>
  <c r="G51" i="28"/>
  <c r="H51" i="28" s="1"/>
  <c r="G59" i="28"/>
  <c r="H59" i="28" s="1"/>
  <c r="G63" i="28"/>
  <c r="H63" i="28" s="1"/>
  <c r="G57" i="28"/>
  <c r="H57" i="28" s="1"/>
  <c r="G23" i="28"/>
  <c r="H23" i="28" s="1"/>
  <c r="G35" i="28"/>
  <c r="H35" i="28" s="1"/>
  <c r="G39" i="28"/>
  <c r="H39" i="28" s="1"/>
  <c r="G47" i="28"/>
  <c r="H47" i="28" s="1"/>
  <c r="G52" i="28"/>
  <c r="H52" i="28" s="1"/>
  <c r="G56" i="28"/>
  <c r="H56" i="28" s="1"/>
  <c r="G60" i="28"/>
  <c r="H60" i="28" s="1"/>
  <c r="G24" i="28"/>
  <c r="H24" i="28" s="1"/>
  <c r="G28" i="28"/>
  <c r="H28" i="28" s="1"/>
  <c r="G36" i="28"/>
  <c r="H36" i="28" s="1"/>
  <c r="G44" i="28"/>
  <c r="H44" i="28" s="1"/>
  <c r="G53" i="28"/>
  <c r="H53" i="28" s="1"/>
  <c r="G65" i="28"/>
  <c r="H65" i="28" s="1"/>
  <c r="G43" i="28"/>
  <c r="G64" i="28"/>
  <c r="H64" i="28" s="1"/>
  <c r="G27" i="28"/>
  <c r="H27" i="28" s="1"/>
  <c r="G32" i="28"/>
  <c r="H32" i="28" s="1"/>
  <c r="G40" i="28"/>
  <c r="H40" i="28" s="1"/>
  <c r="G31" i="28"/>
  <c r="H31" i="28" s="1"/>
  <c r="G62" i="28"/>
  <c r="H62" i="28" s="1"/>
  <c r="G34" i="28"/>
  <c r="G38" i="28"/>
  <c r="H38" i="28" s="1"/>
  <c r="G42" i="28"/>
  <c r="H42" i="28" s="1"/>
  <c r="G55" i="28"/>
  <c r="H55" i="28" s="1"/>
  <c r="G26" i="28"/>
  <c r="H26" i="28" s="1"/>
  <c r="G37" i="28"/>
  <c r="H37" i="28" s="1"/>
  <c r="G45" i="28"/>
  <c r="H45" i="28" s="1"/>
  <c r="G33" i="28"/>
  <c r="H33" i="28" s="1"/>
  <c r="E66" i="28"/>
  <c r="F20" i="28"/>
  <c r="D64" i="27"/>
  <c r="D59" i="27"/>
  <c r="D29" i="27"/>
  <c r="D28" i="27"/>
  <c r="F3" i="27"/>
  <c r="F18" i="27" s="1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D67" i="26"/>
  <c r="D63" i="26"/>
  <c r="D32" i="26"/>
  <c r="D31" i="26"/>
  <c r="F3" i="26"/>
  <c r="F21" i="26" s="1"/>
  <c r="F24" i="25"/>
  <c r="F25" i="25"/>
  <c r="F26" i="25"/>
  <c r="F27" i="25"/>
  <c r="F28" i="25"/>
  <c r="F29" i="25"/>
  <c r="F30" i="25"/>
  <c r="F31" i="25"/>
  <c r="F32" i="25"/>
  <c r="F33" i="25"/>
  <c r="F34" i="25"/>
  <c r="F35" i="25"/>
  <c r="F36" i="25"/>
  <c r="F37" i="25"/>
  <c r="F38" i="25"/>
  <c r="F39" i="25"/>
  <c r="F40" i="25"/>
  <c r="F41" i="25"/>
  <c r="F42" i="25"/>
  <c r="F43" i="25"/>
  <c r="F44" i="25"/>
  <c r="F45" i="25"/>
  <c r="F46" i="25"/>
  <c r="F47" i="25"/>
  <c r="F48" i="25"/>
  <c r="F49" i="25"/>
  <c r="F50" i="25"/>
  <c r="F51" i="25"/>
  <c r="F52" i="25"/>
  <c r="F53" i="25"/>
  <c r="F54" i="25"/>
  <c r="F55" i="25"/>
  <c r="F56" i="25"/>
  <c r="F57" i="25"/>
  <c r="F58" i="25"/>
  <c r="F59" i="25"/>
  <c r="F60" i="25"/>
  <c r="F61" i="25"/>
  <c r="F62" i="25"/>
  <c r="F63" i="25"/>
  <c r="F64" i="25"/>
  <c r="F65" i="25"/>
  <c r="F66" i="25"/>
  <c r="F67" i="25"/>
  <c r="E25" i="25"/>
  <c r="E26" i="25"/>
  <c r="E27" i="25"/>
  <c r="E28" i="25"/>
  <c r="E29" i="25"/>
  <c r="E30" i="25"/>
  <c r="E31" i="25"/>
  <c r="E32" i="25"/>
  <c r="E33" i="25"/>
  <c r="E34" i="25"/>
  <c r="E35" i="25"/>
  <c r="E36" i="25"/>
  <c r="E37" i="25"/>
  <c r="E38" i="25"/>
  <c r="E39" i="25"/>
  <c r="E40" i="25"/>
  <c r="E41" i="25"/>
  <c r="E42" i="25"/>
  <c r="E43" i="25"/>
  <c r="E44" i="25"/>
  <c r="E45" i="25"/>
  <c r="E46" i="25"/>
  <c r="E47" i="25"/>
  <c r="E48" i="25"/>
  <c r="E49" i="25"/>
  <c r="E50" i="25"/>
  <c r="E51" i="25"/>
  <c r="E52" i="25"/>
  <c r="E53" i="25"/>
  <c r="E54" i="25"/>
  <c r="E55" i="25"/>
  <c r="E56" i="25"/>
  <c r="E57" i="25"/>
  <c r="E58" i="25"/>
  <c r="E59" i="25"/>
  <c r="E60" i="25"/>
  <c r="E61" i="25"/>
  <c r="E62" i="25"/>
  <c r="E63" i="25"/>
  <c r="E64" i="25"/>
  <c r="E65" i="25"/>
  <c r="E66" i="25"/>
  <c r="E67" i="25"/>
  <c r="D31" i="25"/>
  <c r="D32" i="25"/>
  <c r="D67" i="25"/>
  <c r="D63" i="25"/>
  <c r="F3" i="25"/>
  <c r="F21" i="25" s="1"/>
  <c r="F3" i="24"/>
  <c r="F21" i="24" s="1"/>
  <c r="D66" i="24"/>
  <c r="D61" i="24"/>
  <c r="D32" i="24"/>
  <c r="D31" i="24"/>
  <c r="D49" i="23"/>
  <c r="D61" i="23"/>
  <c r="D57" i="23"/>
  <c r="D27" i="23"/>
  <c r="D26" i="23"/>
  <c r="F3" i="23"/>
  <c r="F16" i="23" s="1"/>
  <c r="F47" i="22"/>
  <c r="F51" i="22"/>
  <c r="F55" i="22"/>
  <c r="F59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D61" i="22"/>
  <c r="D57" i="22"/>
  <c r="D26" i="22"/>
  <c r="D25" i="22"/>
  <c r="F3" i="22"/>
  <c r="F15" i="22" s="1"/>
  <c r="F19" i="22" s="1"/>
  <c r="F24" i="34" l="1"/>
  <c r="E69" i="34"/>
  <c r="G41" i="32"/>
  <c r="H41" i="32" s="1"/>
  <c r="G31" i="32"/>
  <c r="H31" i="32"/>
  <c r="G36" i="32"/>
  <c r="H36" i="32"/>
  <c r="G37" i="32"/>
  <c r="H37" i="32" s="1"/>
  <c r="E68" i="32"/>
  <c r="G60" i="31"/>
  <c r="H60" i="31" s="1"/>
  <c r="F20" i="31"/>
  <c r="E68" i="31"/>
  <c r="H55" i="30"/>
  <c r="G46" i="30"/>
  <c r="H46" i="30"/>
  <c r="G50" i="30"/>
  <c r="H50" i="30"/>
  <c r="F20" i="30"/>
  <c r="E65" i="30"/>
  <c r="G29" i="30"/>
  <c r="H29" i="30"/>
  <c r="G62" i="30"/>
  <c r="H62" i="30" s="1"/>
  <c r="G30" i="30"/>
  <c r="H30" i="30" s="1"/>
  <c r="G33" i="30"/>
  <c r="H33" i="30" s="1"/>
  <c r="G35" i="30"/>
  <c r="H35" i="30" s="1"/>
  <c r="G23" i="30"/>
  <c r="H23" i="30" s="1"/>
  <c r="G25" i="30"/>
  <c r="H25" i="30" s="1"/>
  <c r="G38" i="30"/>
  <c r="H38" i="30"/>
  <c r="G42" i="30"/>
  <c r="H42" i="30" s="1"/>
  <c r="G44" i="30"/>
  <c r="H44" i="30" s="1"/>
  <c r="F20" i="29"/>
  <c r="E64" i="29"/>
  <c r="G54" i="28"/>
  <c r="H54" i="28" s="1"/>
  <c r="H43" i="28"/>
  <c r="H34" i="28"/>
  <c r="G49" i="28"/>
  <c r="H49" i="28" s="1"/>
  <c r="G50" i="28"/>
  <c r="H50" i="28" s="1"/>
  <c r="D65" i="27"/>
  <c r="G20" i="28"/>
  <c r="F66" i="28"/>
  <c r="D68" i="26"/>
  <c r="G61" i="25"/>
  <c r="H61" i="25" s="1"/>
  <c r="D68" i="25"/>
  <c r="D67" i="24"/>
  <c r="E31" i="24" s="1"/>
  <c r="F31" i="24" s="1"/>
  <c r="D62" i="23"/>
  <c r="E27" i="23" s="1"/>
  <c r="F27" i="23" s="1"/>
  <c r="F58" i="22"/>
  <c r="F54" i="22"/>
  <c r="F50" i="22"/>
  <c r="F46" i="22"/>
  <c r="F42" i="22"/>
  <c r="F38" i="22"/>
  <c r="F34" i="22"/>
  <c r="F30" i="22"/>
  <c r="F26" i="22"/>
  <c r="F22" i="22"/>
  <c r="F18" i="22"/>
  <c r="F61" i="22"/>
  <c r="F57" i="22"/>
  <c r="F53" i="22"/>
  <c r="F49" i="22"/>
  <c r="F45" i="22"/>
  <c r="F41" i="22"/>
  <c r="F37" i="22"/>
  <c r="F33" i="22"/>
  <c r="F29" i="22"/>
  <c r="F25" i="22"/>
  <c r="F21" i="22"/>
  <c r="F60" i="22"/>
  <c r="F56" i="22"/>
  <c r="F52" i="22"/>
  <c r="F48" i="22"/>
  <c r="F44" i="22"/>
  <c r="F40" i="22"/>
  <c r="F36" i="22"/>
  <c r="F32" i="22"/>
  <c r="F28" i="22"/>
  <c r="F24" i="22"/>
  <c r="F20" i="22"/>
  <c r="F43" i="22"/>
  <c r="F39" i="22"/>
  <c r="F35" i="22"/>
  <c r="F31" i="22"/>
  <c r="F27" i="22"/>
  <c r="F23" i="22"/>
  <c r="D62" i="22"/>
  <c r="D60" i="21"/>
  <c r="F69" i="34" l="1"/>
  <c r="G24" i="34"/>
  <c r="F68" i="32"/>
  <c r="G24" i="32"/>
  <c r="F68" i="31"/>
  <c r="G20" i="31"/>
  <c r="F65" i="30"/>
  <c r="G20" i="30"/>
  <c r="F64" i="29"/>
  <c r="G20" i="29"/>
  <c r="E31" i="27"/>
  <c r="F31" i="27" s="1"/>
  <c r="E54" i="27"/>
  <c r="F54" i="27" s="1"/>
  <c r="G54" i="27" s="1"/>
  <c r="H54" i="27" s="1"/>
  <c r="E38" i="27"/>
  <c r="F38" i="27" s="1"/>
  <c r="G38" i="27" s="1"/>
  <c r="H38" i="27" s="1"/>
  <c r="E50" i="27"/>
  <c r="F50" i="27" s="1"/>
  <c r="G50" i="27" s="1"/>
  <c r="H50" i="27" s="1"/>
  <c r="E61" i="27"/>
  <c r="F61" i="27" s="1"/>
  <c r="G61" i="27" s="1"/>
  <c r="H61" i="27" s="1"/>
  <c r="E21" i="27"/>
  <c r="F21" i="27" s="1"/>
  <c r="G21" i="27" s="1"/>
  <c r="H21" i="27" s="1"/>
  <c r="E39" i="27"/>
  <c r="F39" i="27" s="1"/>
  <c r="G39" i="27" s="1"/>
  <c r="H39" i="27" s="1"/>
  <c r="E63" i="27"/>
  <c r="F63" i="27" s="1"/>
  <c r="G63" i="27" s="1"/>
  <c r="H63" i="27" s="1"/>
  <c r="E28" i="27"/>
  <c r="F28" i="27" s="1"/>
  <c r="E34" i="27"/>
  <c r="F34" i="27" s="1"/>
  <c r="G34" i="27" s="1"/>
  <c r="H34" i="27" s="1"/>
  <c r="E62" i="27"/>
  <c r="F62" i="27" s="1"/>
  <c r="E23" i="27"/>
  <c r="F23" i="27" s="1"/>
  <c r="G23" i="27" s="1"/>
  <c r="H23" i="27" s="1"/>
  <c r="E29" i="27"/>
  <c r="F29" i="27" s="1"/>
  <c r="E35" i="27"/>
  <c r="F35" i="27" s="1"/>
  <c r="G35" i="27" s="1"/>
  <c r="H35" i="27" s="1"/>
  <c r="E41" i="27"/>
  <c r="F41" i="27" s="1"/>
  <c r="G41" i="27" s="1"/>
  <c r="H41" i="27" s="1"/>
  <c r="E47" i="27"/>
  <c r="F47" i="27" s="1"/>
  <c r="G47" i="27" s="1"/>
  <c r="H47" i="27" s="1"/>
  <c r="E52" i="27"/>
  <c r="F52" i="27" s="1"/>
  <c r="G52" i="27" s="1"/>
  <c r="H52" i="27" s="1"/>
  <c r="E58" i="27"/>
  <c r="F58" i="27" s="1"/>
  <c r="G58" i="27" s="1"/>
  <c r="H58" i="27" s="1"/>
  <c r="E37" i="27"/>
  <c r="F37" i="27" s="1"/>
  <c r="G37" i="27" s="1"/>
  <c r="H37" i="27" s="1"/>
  <c r="E49" i="27"/>
  <c r="F49" i="27" s="1"/>
  <c r="G49" i="27" s="1"/>
  <c r="H49" i="27" s="1"/>
  <c r="E26" i="27"/>
  <c r="F26" i="27" s="1"/>
  <c r="E44" i="27"/>
  <c r="F44" i="27" s="1"/>
  <c r="E27" i="27"/>
  <c r="F27" i="27" s="1"/>
  <c r="G27" i="27" s="1"/>
  <c r="H27" i="27" s="1"/>
  <c r="E45" i="27"/>
  <c r="F45" i="27" s="1"/>
  <c r="G45" i="27" s="1"/>
  <c r="H45" i="27" s="1"/>
  <c r="E22" i="27"/>
  <c r="F22" i="27" s="1"/>
  <c r="E40" i="27"/>
  <c r="F40" i="27" s="1"/>
  <c r="E64" i="27"/>
  <c r="F64" i="27" s="1"/>
  <c r="G64" i="27" s="1"/>
  <c r="E24" i="27"/>
  <c r="F24" i="27" s="1"/>
  <c r="G24" i="27" s="1"/>
  <c r="H24" i="27" s="1"/>
  <c r="E30" i="27"/>
  <c r="F30" i="27" s="1"/>
  <c r="G30" i="27" s="1"/>
  <c r="H30" i="27" s="1"/>
  <c r="E36" i="27"/>
  <c r="F36" i="27" s="1"/>
  <c r="G36" i="27" s="1"/>
  <c r="H36" i="27" s="1"/>
  <c r="E42" i="27"/>
  <c r="F42" i="27" s="1"/>
  <c r="G42" i="27" s="1"/>
  <c r="H42" i="27" s="1"/>
  <c r="E48" i="27"/>
  <c r="F48" i="27" s="1"/>
  <c r="G48" i="27" s="1"/>
  <c r="H48" i="27" s="1"/>
  <c r="E53" i="27"/>
  <c r="F53" i="27" s="1"/>
  <c r="E59" i="27"/>
  <c r="F59" i="27" s="1"/>
  <c r="G59" i="27" s="1"/>
  <c r="H59" i="27" s="1"/>
  <c r="E25" i="27"/>
  <c r="F25" i="27" s="1"/>
  <c r="G25" i="27" s="1"/>
  <c r="H25" i="27" s="1"/>
  <c r="E43" i="27"/>
  <c r="F43" i="27" s="1"/>
  <c r="G43" i="27" s="1"/>
  <c r="H43" i="27" s="1"/>
  <c r="E60" i="27"/>
  <c r="F60" i="27" s="1"/>
  <c r="E32" i="27"/>
  <c r="F32" i="27" s="1"/>
  <c r="E55" i="27"/>
  <c r="F55" i="27" s="1"/>
  <c r="G55" i="27" s="1"/>
  <c r="H55" i="27" s="1"/>
  <c r="E33" i="27"/>
  <c r="F33" i="27" s="1"/>
  <c r="G33" i="27" s="1"/>
  <c r="H33" i="27" s="1"/>
  <c r="E51" i="27"/>
  <c r="F51" i="27" s="1"/>
  <c r="G51" i="27" s="1"/>
  <c r="H51" i="27" s="1"/>
  <c r="E56" i="27"/>
  <c r="F56" i="27" s="1"/>
  <c r="G56" i="27" s="1"/>
  <c r="H56" i="27" s="1"/>
  <c r="E46" i="27"/>
  <c r="F46" i="27" s="1"/>
  <c r="G46" i="27" s="1"/>
  <c r="H46" i="27" s="1"/>
  <c r="E57" i="27"/>
  <c r="F57" i="27" s="1"/>
  <c r="G57" i="27" s="1"/>
  <c r="H57" i="27" s="1"/>
  <c r="E20" i="27"/>
  <c r="F20" i="27" s="1"/>
  <c r="G66" i="28"/>
  <c r="H20" i="28"/>
  <c r="H66" i="28" s="1"/>
  <c r="G26" i="27"/>
  <c r="H26" i="27" s="1"/>
  <c r="G31" i="27"/>
  <c r="H31" i="27" s="1"/>
  <c r="G28" i="27"/>
  <c r="H28" i="27" s="1"/>
  <c r="G60" i="27"/>
  <c r="H60" i="27" s="1"/>
  <c r="G44" i="27"/>
  <c r="H44" i="27" s="1"/>
  <c r="G40" i="27"/>
  <c r="H40" i="27" s="1"/>
  <c r="G32" i="27"/>
  <c r="H32" i="27" s="1"/>
  <c r="G53" i="27"/>
  <c r="H53" i="27" s="1"/>
  <c r="G29" i="27"/>
  <c r="H29" i="27" s="1"/>
  <c r="G22" i="27"/>
  <c r="H22" i="27" s="1"/>
  <c r="G62" i="26"/>
  <c r="H62" i="26" s="1"/>
  <c r="G67" i="26"/>
  <c r="H67" i="26" s="1"/>
  <c r="G63" i="26"/>
  <c r="H63" i="26" s="1"/>
  <c r="G32" i="26"/>
  <c r="H32" i="26" s="1"/>
  <c r="E23" i="26"/>
  <c r="G45" i="25"/>
  <c r="H45" i="25" s="1"/>
  <c r="G53" i="25"/>
  <c r="H53" i="25" s="1"/>
  <c r="E23" i="25"/>
  <c r="E24" i="25"/>
  <c r="G25" i="25"/>
  <c r="H25" i="25" s="1"/>
  <c r="G37" i="25"/>
  <c r="H37" i="25" s="1"/>
  <c r="G38" i="25"/>
  <c r="H38" i="25" s="1"/>
  <c r="G59" i="25"/>
  <c r="H59" i="25" s="1"/>
  <c r="G24" i="25"/>
  <c r="H24" i="25" s="1"/>
  <c r="G29" i="25"/>
  <c r="H29" i="25" s="1"/>
  <c r="G30" i="25"/>
  <c r="H30" i="25" s="1"/>
  <c r="G32" i="25"/>
  <c r="H32" i="25" s="1"/>
  <c r="G33" i="25"/>
  <c r="H33" i="25"/>
  <c r="G34" i="25"/>
  <c r="H34" i="25" s="1"/>
  <c r="G35" i="25"/>
  <c r="H35" i="25" s="1"/>
  <c r="G36" i="25"/>
  <c r="H36" i="25"/>
  <c r="G40" i="25"/>
  <c r="H40" i="25" s="1"/>
  <c r="G41" i="25"/>
  <c r="H41" i="25" s="1"/>
  <c r="G42" i="25"/>
  <c r="H42" i="25" s="1"/>
  <c r="G43" i="25"/>
  <c r="H43" i="25" s="1"/>
  <c r="G44" i="25"/>
  <c r="H44" i="25" s="1"/>
  <c r="G46" i="25"/>
  <c r="H46" i="25" s="1"/>
  <c r="G47" i="25"/>
  <c r="H47" i="25"/>
  <c r="G48" i="25"/>
  <c r="H48" i="25"/>
  <c r="G49" i="25"/>
  <c r="H49" i="25" s="1"/>
  <c r="G50" i="25"/>
  <c r="H50" i="25" s="1"/>
  <c r="G51" i="25"/>
  <c r="H51" i="25" s="1"/>
  <c r="G52" i="25"/>
  <c r="H52" i="25" s="1"/>
  <c r="G54" i="25"/>
  <c r="H54" i="25" s="1"/>
  <c r="G55" i="25"/>
  <c r="H55" i="25" s="1"/>
  <c r="G56" i="25"/>
  <c r="H56" i="25" s="1"/>
  <c r="G58" i="25"/>
  <c r="H58" i="25" s="1"/>
  <c r="G60" i="25"/>
  <c r="H60" i="25" s="1"/>
  <c r="G67" i="25"/>
  <c r="H67" i="25"/>
  <c r="G26" i="25"/>
  <c r="H26" i="25" s="1"/>
  <c r="G28" i="25"/>
  <c r="H28" i="25"/>
  <c r="G31" i="25"/>
  <c r="H31" i="25"/>
  <c r="G63" i="25"/>
  <c r="H63" i="25" s="1"/>
  <c r="E32" i="24"/>
  <c r="F32" i="24" s="1"/>
  <c r="G32" i="24" s="1"/>
  <c r="H32" i="24" s="1"/>
  <c r="G66" i="24"/>
  <c r="H66" i="24" s="1"/>
  <c r="F61" i="24"/>
  <c r="G61" i="24" s="1"/>
  <c r="H61" i="24" s="1"/>
  <c r="E23" i="24"/>
  <c r="E25" i="24"/>
  <c r="F25" i="24" s="1"/>
  <c r="G25" i="24" s="1"/>
  <c r="H25" i="24" s="1"/>
  <c r="E28" i="24"/>
  <c r="F28" i="24" s="1"/>
  <c r="G28" i="24" s="1"/>
  <c r="H28" i="24" s="1"/>
  <c r="E29" i="24"/>
  <c r="F29" i="24" s="1"/>
  <c r="G29" i="24" s="1"/>
  <c r="H29" i="24" s="1"/>
  <c r="E34" i="24"/>
  <c r="F34" i="24" s="1"/>
  <c r="E40" i="24"/>
  <c r="F40" i="24" s="1"/>
  <c r="G40" i="24" s="1"/>
  <c r="H40" i="24" s="1"/>
  <c r="E48" i="24"/>
  <c r="F48" i="24" s="1"/>
  <c r="E49" i="24"/>
  <c r="F49" i="24" s="1"/>
  <c r="G49" i="24" s="1"/>
  <c r="H49" i="24" s="1"/>
  <c r="E51" i="24"/>
  <c r="F51" i="24" s="1"/>
  <c r="F57" i="24"/>
  <c r="G57" i="24" s="1"/>
  <c r="H57" i="24" s="1"/>
  <c r="F58" i="24"/>
  <c r="F59" i="24"/>
  <c r="F63" i="24"/>
  <c r="E27" i="24"/>
  <c r="F27" i="24" s="1"/>
  <c r="E33" i="24"/>
  <c r="F33" i="24" s="1"/>
  <c r="G33" i="24" s="1"/>
  <c r="H33" i="24" s="1"/>
  <c r="E35" i="24"/>
  <c r="F35" i="24" s="1"/>
  <c r="G35" i="24" s="1"/>
  <c r="H35" i="24" s="1"/>
  <c r="E36" i="24"/>
  <c r="F36" i="24" s="1"/>
  <c r="E37" i="24"/>
  <c r="F37" i="24" s="1"/>
  <c r="G37" i="24" s="1"/>
  <c r="H37" i="24" s="1"/>
  <c r="E38" i="24"/>
  <c r="F38" i="24" s="1"/>
  <c r="G38" i="24" s="1"/>
  <c r="H38" i="24" s="1"/>
  <c r="E39" i="24"/>
  <c r="F39" i="24" s="1"/>
  <c r="E42" i="24"/>
  <c r="F42" i="24" s="1"/>
  <c r="E43" i="24"/>
  <c r="F43" i="24" s="1"/>
  <c r="E45" i="24"/>
  <c r="F45" i="24" s="1"/>
  <c r="G45" i="24" s="1"/>
  <c r="H45" i="24" s="1"/>
  <c r="E46" i="24"/>
  <c r="F46" i="24" s="1"/>
  <c r="E52" i="24"/>
  <c r="F52" i="24" s="1"/>
  <c r="F55" i="24"/>
  <c r="E24" i="24"/>
  <c r="F24" i="24" s="1"/>
  <c r="G24" i="24" s="1"/>
  <c r="H24" i="24" s="1"/>
  <c r="E26" i="24"/>
  <c r="F26" i="24" s="1"/>
  <c r="G26" i="24" s="1"/>
  <c r="H26" i="24" s="1"/>
  <c r="E30" i="24"/>
  <c r="F30" i="24" s="1"/>
  <c r="E41" i="24"/>
  <c r="F41" i="24" s="1"/>
  <c r="G41" i="24" s="1"/>
  <c r="H41" i="24" s="1"/>
  <c r="E44" i="24"/>
  <c r="F44" i="24" s="1"/>
  <c r="E47" i="24"/>
  <c r="F47" i="24" s="1"/>
  <c r="E50" i="24"/>
  <c r="F50" i="24" s="1"/>
  <c r="G50" i="24" s="1"/>
  <c r="H50" i="24" s="1"/>
  <c r="E53" i="24"/>
  <c r="F53" i="24" s="1"/>
  <c r="F54" i="24"/>
  <c r="G54" i="24" s="1"/>
  <c r="H54" i="24" s="1"/>
  <c r="F56" i="24"/>
  <c r="G56" i="24" s="1"/>
  <c r="H56" i="24" s="1"/>
  <c r="F60" i="24"/>
  <c r="F62" i="24"/>
  <c r="G65" i="24"/>
  <c r="H65" i="24" s="1"/>
  <c r="G31" i="24"/>
  <c r="H31" i="24" s="1"/>
  <c r="E26" i="23"/>
  <c r="F26" i="23" s="1"/>
  <c r="E57" i="23"/>
  <c r="F57" i="23" s="1"/>
  <c r="E61" i="23"/>
  <c r="F61" i="23" s="1"/>
  <c r="E18" i="23"/>
  <c r="E19" i="23"/>
  <c r="F19" i="23" s="1"/>
  <c r="E20" i="23"/>
  <c r="F20" i="23" s="1"/>
  <c r="E21" i="23"/>
  <c r="F21" i="23" s="1"/>
  <c r="E22" i="23"/>
  <c r="F22" i="23" s="1"/>
  <c r="E23" i="23"/>
  <c r="F23" i="23" s="1"/>
  <c r="G23" i="23" s="1"/>
  <c r="H23" i="23" s="1"/>
  <c r="E24" i="23"/>
  <c r="F24" i="23" s="1"/>
  <c r="G24" i="23" s="1"/>
  <c r="H24" i="23" s="1"/>
  <c r="E25" i="23"/>
  <c r="F25" i="23" s="1"/>
  <c r="E28" i="23"/>
  <c r="F28" i="23" s="1"/>
  <c r="G28" i="23" s="1"/>
  <c r="H28" i="23" s="1"/>
  <c r="E29" i="23"/>
  <c r="F29" i="23" s="1"/>
  <c r="E30" i="23"/>
  <c r="F30" i="23" s="1"/>
  <c r="G30" i="23" s="1"/>
  <c r="H30" i="23" s="1"/>
  <c r="E31" i="23"/>
  <c r="F31" i="23" s="1"/>
  <c r="G31" i="23" s="1"/>
  <c r="H31" i="23" s="1"/>
  <c r="E32" i="23"/>
  <c r="F32" i="23" s="1"/>
  <c r="E33" i="23"/>
  <c r="F33" i="23" s="1"/>
  <c r="E34" i="23"/>
  <c r="F34" i="23" s="1"/>
  <c r="G34" i="23" s="1"/>
  <c r="E35" i="23"/>
  <c r="F35" i="23" s="1"/>
  <c r="E36" i="23"/>
  <c r="F36" i="23" s="1"/>
  <c r="E37" i="23"/>
  <c r="F37" i="23" s="1"/>
  <c r="E38" i="23"/>
  <c r="F38" i="23" s="1"/>
  <c r="E39" i="23"/>
  <c r="F39" i="23" s="1"/>
  <c r="E40" i="23"/>
  <c r="F40" i="23" s="1"/>
  <c r="E41" i="23"/>
  <c r="F41" i="23" s="1"/>
  <c r="E42" i="23"/>
  <c r="F42" i="23" s="1"/>
  <c r="E43" i="23"/>
  <c r="F43" i="23" s="1"/>
  <c r="E44" i="23"/>
  <c r="F44" i="23" s="1"/>
  <c r="E45" i="23"/>
  <c r="F45" i="23" s="1"/>
  <c r="E46" i="23"/>
  <c r="F46" i="23" s="1"/>
  <c r="E53" i="23"/>
  <c r="F53" i="23" s="1"/>
  <c r="E54" i="23"/>
  <c r="F54" i="23" s="1"/>
  <c r="E55" i="23"/>
  <c r="F55" i="23" s="1"/>
  <c r="E56" i="23"/>
  <c r="F56" i="23" s="1"/>
  <c r="E58" i="23"/>
  <c r="F58" i="23" s="1"/>
  <c r="E60" i="23"/>
  <c r="F60" i="23" s="1"/>
  <c r="E47" i="23"/>
  <c r="F47" i="23" s="1"/>
  <c r="E48" i="23"/>
  <c r="F48" i="23" s="1"/>
  <c r="E49" i="23"/>
  <c r="F49" i="23" s="1"/>
  <c r="E50" i="23"/>
  <c r="F50" i="23" s="1"/>
  <c r="E51" i="23"/>
  <c r="F51" i="23" s="1"/>
  <c r="E52" i="23"/>
  <c r="F52" i="23" s="1"/>
  <c r="E59" i="23"/>
  <c r="F59" i="23" s="1"/>
  <c r="G19" i="23"/>
  <c r="H19" i="23" s="1"/>
  <c r="G20" i="23"/>
  <c r="H20" i="23" s="1"/>
  <c r="G21" i="23"/>
  <c r="H21" i="23" s="1"/>
  <c r="G22" i="23"/>
  <c r="H22" i="23" s="1"/>
  <c r="G25" i="23"/>
  <c r="H25" i="23"/>
  <c r="G26" i="23"/>
  <c r="H26" i="23" s="1"/>
  <c r="G27" i="23"/>
  <c r="H27" i="23" s="1"/>
  <c r="E17" i="22"/>
  <c r="D55" i="21"/>
  <c r="D26" i="21"/>
  <c r="D25" i="21"/>
  <c r="F3" i="21"/>
  <c r="F15" i="21" s="1"/>
  <c r="D66" i="20"/>
  <c r="D64" i="19"/>
  <c r="F3" i="20"/>
  <c r="F20" i="20" s="1"/>
  <c r="D30" i="20"/>
  <c r="D31" i="20"/>
  <c r="D62" i="20"/>
  <c r="D60" i="19"/>
  <c r="D31" i="19"/>
  <c r="D30" i="19"/>
  <c r="F3" i="19"/>
  <c r="E60" i="18"/>
  <c r="E56" i="18"/>
  <c r="E27" i="18"/>
  <c r="E26" i="18"/>
  <c r="G3" i="18"/>
  <c r="G16" i="18" s="1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D60" i="16"/>
  <c r="D61" i="17"/>
  <c r="D57" i="17"/>
  <c r="D27" i="17"/>
  <c r="D26" i="17"/>
  <c r="F3" i="17"/>
  <c r="F16" i="17" s="1"/>
  <c r="F39" i="17" s="1"/>
  <c r="D59" i="16"/>
  <c r="D55" i="16"/>
  <c r="D27" i="16"/>
  <c r="D26" i="16"/>
  <c r="F3" i="16"/>
  <c r="F16" i="16" s="1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D61" i="15"/>
  <c r="D57" i="15"/>
  <c r="D27" i="15"/>
  <c r="D26" i="15"/>
  <c r="F3" i="15"/>
  <c r="F16" i="15" s="1"/>
  <c r="G69" i="34" l="1"/>
  <c r="H24" i="34"/>
  <c r="H69" i="34" s="1"/>
  <c r="G68" i="32"/>
  <c r="H24" i="32"/>
  <c r="H68" i="32" s="1"/>
  <c r="G68" i="31"/>
  <c r="H20" i="31"/>
  <c r="H68" i="31" s="1"/>
  <c r="G65" i="30"/>
  <c r="H20" i="30"/>
  <c r="H65" i="30" s="1"/>
  <c r="G64" i="29"/>
  <c r="H20" i="29"/>
  <c r="H64" i="29" s="1"/>
  <c r="G62" i="27"/>
  <c r="H62" i="27"/>
  <c r="E65" i="27"/>
  <c r="H64" i="27"/>
  <c r="F65" i="27"/>
  <c r="G20" i="27"/>
  <c r="G65" i="27" s="1"/>
  <c r="G36" i="26"/>
  <c r="H36" i="26" s="1"/>
  <c r="G37" i="26"/>
  <c r="H37" i="26"/>
  <c r="G41" i="26"/>
  <c r="H41" i="26" s="1"/>
  <c r="G49" i="26"/>
  <c r="H49" i="26" s="1"/>
  <c r="G53" i="26"/>
  <c r="H53" i="26" s="1"/>
  <c r="G57" i="26"/>
  <c r="H57" i="26" s="1"/>
  <c r="G61" i="26"/>
  <c r="H61" i="26" s="1"/>
  <c r="G28" i="26"/>
  <c r="H28" i="26" s="1"/>
  <c r="G34" i="26"/>
  <c r="H34" i="26" s="1"/>
  <c r="G38" i="26"/>
  <c r="H38" i="26" s="1"/>
  <c r="G42" i="26"/>
  <c r="H42" i="26" s="1"/>
  <c r="G46" i="26"/>
  <c r="H46" i="26" s="1"/>
  <c r="G50" i="26"/>
  <c r="H50" i="26" s="1"/>
  <c r="G54" i="26"/>
  <c r="H54" i="26" s="1"/>
  <c r="G58" i="26"/>
  <c r="H58" i="26" s="1"/>
  <c r="G64" i="26"/>
  <c r="H64" i="26" s="1"/>
  <c r="G25" i="26"/>
  <c r="H25" i="26" s="1"/>
  <c r="G29" i="26"/>
  <c r="H29" i="26" s="1"/>
  <c r="E68" i="26"/>
  <c r="F23" i="26"/>
  <c r="G35" i="26"/>
  <c r="H35" i="26" s="1"/>
  <c r="G39" i="26"/>
  <c r="H39" i="26" s="1"/>
  <c r="G43" i="26"/>
  <c r="H43" i="26" s="1"/>
  <c r="G47" i="26"/>
  <c r="H47" i="26" s="1"/>
  <c r="G51" i="26"/>
  <c r="H51" i="26" s="1"/>
  <c r="G55" i="26"/>
  <c r="H55" i="26" s="1"/>
  <c r="G59" i="26"/>
  <c r="H59" i="26" s="1"/>
  <c r="G65" i="26"/>
  <c r="H65" i="26" s="1"/>
  <c r="G26" i="26"/>
  <c r="H26" i="26" s="1"/>
  <c r="G30" i="26"/>
  <c r="H30" i="26" s="1"/>
  <c r="G31" i="26"/>
  <c r="H31" i="26" s="1"/>
  <c r="G40" i="26"/>
  <c r="H40" i="26" s="1"/>
  <c r="G44" i="26"/>
  <c r="H44" i="26"/>
  <c r="G48" i="26"/>
  <c r="H48" i="26" s="1"/>
  <c r="G52" i="26"/>
  <c r="H52" i="26"/>
  <c r="G56" i="26"/>
  <c r="H56" i="26" s="1"/>
  <c r="G60" i="26"/>
  <c r="H60" i="26" s="1"/>
  <c r="G66" i="26"/>
  <c r="H66" i="26" s="1"/>
  <c r="G27" i="26"/>
  <c r="H27" i="26" s="1"/>
  <c r="G33" i="26"/>
  <c r="H33" i="26" s="1"/>
  <c r="G45" i="26"/>
  <c r="H45" i="26" s="1"/>
  <c r="G24" i="26"/>
  <c r="H24" i="26" s="1"/>
  <c r="G64" i="25"/>
  <c r="H64" i="25" s="1"/>
  <c r="G62" i="25"/>
  <c r="H62" i="25"/>
  <c r="G66" i="25"/>
  <c r="H66" i="25"/>
  <c r="G27" i="25"/>
  <c r="H27" i="25"/>
  <c r="G39" i="25"/>
  <c r="H39" i="25" s="1"/>
  <c r="G57" i="25"/>
  <c r="H57" i="25"/>
  <c r="G65" i="25"/>
  <c r="H65" i="25" s="1"/>
  <c r="F23" i="25"/>
  <c r="E68" i="25"/>
  <c r="G58" i="24"/>
  <c r="H58" i="24" s="1"/>
  <c r="G44" i="24"/>
  <c r="H44" i="24" s="1"/>
  <c r="F23" i="24"/>
  <c r="E67" i="24"/>
  <c r="G34" i="24"/>
  <c r="H34" i="24" s="1"/>
  <c r="G48" i="24"/>
  <c r="H48" i="24" s="1"/>
  <c r="G51" i="24"/>
  <c r="H51" i="24" s="1"/>
  <c r="G59" i="24"/>
  <c r="H59" i="24" s="1"/>
  <c r="G63" i="24"/>
  <c r="H63" i="24" s="1"/>
  <c r="G27" i="24"/>
  <c r="H27" i="24" s="1"/>
  <c r="G36" i="24"/>
  <c r="H36" i="24" s="1"/>
  <c r="G39" i="24"/>
  <c r="H39" i="24" s="1"/>
  <c r="G42" i="24"/>
  <c r="H42" i="24" s="1"/>
  <c r="G43" i="24"/>
  <c r="H43" i="24" s="1"/>
  <c r="G46" i="24"/>
  <c r="H46" i="24" s="1"/>
  <c r="G52" i="24"/>
  <c r="H52" i="24" s="1"/>
  <c r="G55" i="24"/>
  <c r="H55" i="24" s="1"/>
  <c r="G30" i="24"/>
  <c r="H30" i="24" s="1"/>
  <c r="G47" i="24"/>
  <c r="H47" i="24" s="1"/>
  <c r="G53" i="24"/>
  <c r="H53" i="24" s="1"/>
  <c r="G60" i="24"/>
  <c r="H60" i="24" s="1"/>
  <c r="G62" i="24"/>
  <c r="H62" i="24" s="1"/>
  <c r="G29" i="23"/>
  <c r="H29" i="23"/>
  <c r="G32" i="23"/>
  <c r="H32" i="23"/>
  <c r="G33" i="23"/>
  <c r="H33" i="23"/>
  <c r="H34" i="23"/>
  <c r="F18" i="23"/>
  <c r="E62" i="23"/>
  <c r="G57" i="23"/>
  <c r="H57" i="23" s="1"/>
  <c r="G61" i="23"/>
  <c r="H61" i="23"/>
  <c r="G35" i="23"/>
  <c r="H35" i="23"/>
  <c r="G36" i="23"/>
  <c r="H36" i="23"/>
  <c r="G37" i="23"/>
  <c r="H37" i="23" s="1"/>
  <c r="G38" i="23"/>
  <c r="H38" i="23" s="1"/>
  <c r="G39" i="23"/>
  <c r="H39" i="23" s="1"/>
  <c r="G40" i="23"/>
  <c r="H40" i="23" s="1"/>
  <c r="G41" i="23"/>
  <c r="H41" i="23" s="1"/>
  <c r="G42" i="23"/>
  <c r="H42" i="23" s="1"/>
  <c r="G43" i="23"/>
  <c r="H43" i="23"/>
  <c r="G44" i="23"/>
  <c r="H44" i="23"/>
  <c r="G45" i="23"/>
  <c r="H45" i="23"/>
  <c r="G46" i="23"/>
  <c r="H46" i="23" s="1"/>
  <c r="G53" i="23"/>
  <c r="H53" i="23"/>
  <c r="G54" i="23"/>
  <c r="H54" i="23" s="1"/>
  <c r="G55" i="23"/>
  <c r="H55" i="23" s="1"/>
  <c r="G56" i="23"/>
  <c r="H56" i="23" s="1"/>
  <c r="G58" i="23"/>
  <c r="H58" i="23" s="1"/>
  <c r="G60" i="23"/>
  <c r="H60" i="23" s="1"/>
  <c r="G47" i="23"/>
  <c r="H47" i="23" s="1"/>
  <c r="G48" i="23"/>
  <c r="H48" i="23" s="1"/>
  <c r="G49" i="23"/>
  <c r="H49" i="23"/>
  <c r="G50" i="23"/>
  <c r="H50" i="23" s="1"/>
  <c r="G51" i="23"/>
  <c r="H51" i="23"/>
  <c r="G52" i="23"/>
  <c r="H52" i="23" s="1"/>
  <c r="G59" i="23"/>
  <c r="H59" i="23"/>
  <c r="G55" i="22"/>
  <c r="H55" i="22" s="1"/>
  <c r="G22" i="22"/>
  <c r="H22" i="22" s="1"/>
  <c r="G26" i="22"/>
  <c r="H26" i="22" s="1"/>
  <c r="G30" i="22"/>
  <c r="H30" i="22" s="1"/>
  <c r="G34" i="22"/>
  <c r="H34" i="22" s="1"/>
  <c r="G38" i="22"/>
  <c r="H38" i="22" s="1"/>
  <c r="G42" i="22"/>
  <c r="H42" i="22" s="1"/>
  <c r="G46" i="22"/>
  <c r="H46" i="22" s="1"/>
  <c r="G50" i="22"/>
  <c r="H50" i="22" s="1"/>
  <c r="G54" i="22"/>
  <c r="H54" i="22" s="1"/>
  <c r="G24" i="22"/>
  <c r="H24" i="22" s="1"/>
  <c r="G25" i="22"/>
  <c r="H25" i="22" s="1"/>
  <c r="G61" i="22"/>
  <c r="H61" i="22" s="1"/>
  <c r="G27" i="22"/>
  <c r="H27" i="22" s="1"/>
  <c r="G31" i="22"/>
  <c r="H31" i="22" s="1"/>
  <c r="G35" i="22"/>
  <c r="H35" i="22" s="1"/>
  <c r="G39" i="22"/>
  <c r="H39" i="22" s="1"/>
  <c r="G43" i="22"/>
  <c r="H43" i="22" s="1"/>
  <c r="G47" i="22"/>
  <c r="H47" i="22" s="1"/>
  <c r="G51" i="22"/>
  <c r="H51" i="22" s="1"/>
  <c r="G56" i="22"/>
  <c r="H56" i="22" s="1"/>
  <c r="G57" i="22"/>
  <c r="H57" i="22" s="1"/>
  <c r="G28" i="22"/>
  <c r="H28" i="22" s="1"/>
  <c r="G18" i="22"/>
  <c r="H18" i="22" s="1"/>
  <c r="E62" i="22"/>
  <c r="F17" i="22"/>
  <c r="G20" i="22"/>
  <c r="H20" i="22" s="1"/>
  <c r="G32" i="22"/>
  <c r="H32" i="22" s="1"/>
  <c r="G36" i="22"/>
  <c r="H36" i="22" s="1"/>
  <c r="G40" i="22"/>
  <c r="H40" i="22" s="1"/>
  <c r="G44" i="22"/>
  <c r="H44" i="22" s="1"/>
  <c r="G48" i="22"/>
  <c r="H48" i="22" s="1"/>
  <c r="G52" i="22"/>
  <c r="H52" i="22" s="1"/>
  <c r="G58" i="22"/>
  <c r="H58" i="22" s="1"/>
  <c r="G19" i="22"/>
  <c r="H19" i="22" s="1"/>
  <c r="G23" i="22"/>
  <c r="H23" i="22" s="1"/>
  <c r="G29" i="22"/>
  <c r="H29" i="22" s="1"/>
  <c r="G33" i="22"/>
  <c r="H33" i="22" s="1"/>
  <c r="G37" i="22"/>
  <c r="H37" i="22" s="1"/>
  <c r="G41" i="22"/>
  <c r="H41" i="22" s="1"/>
  <c r="G45" i="22"/>
  <c r="H45" i="22" s="1"/>
  <c r="G49" i="22"/>
  <c r="H49" i="22" s="1"/>
  <c r="G53" i="22"/>
  <c r="H53" i="22" s="1"/>
  <c r="G21" i="22"/>
  <c r="H21" i="22" s="1"/>
  <c r="G59" i="22"/>
  <c r="H59" i="22" s="1"/>
  <c r="G60" i="22"/>
  <c r="H60" i="22" s="1"/>
  <c r="D61" i="21"/>
  <c r="E26" i="21" s="1"/>
  <c r="F26" i="21" s="1"/>
  <c r="D67" i="20"/>
  <c r="E39" i="20" s="1"/>
  <c r="F39" i="20" s="1"/>
  <c r="F20" i="19"/>
  <c r="D65" i="19"/>
  <c r="E61" i="18"/>
  <c r="F25" i="18" s="1"/>
  <c r="G25" i="18" s="1"/>
  <c r="F60" i="18"/>
  <c r="G60" i="18" s="1"/>
  <c r="F19" i="18"/>
  <c r="G19" i="18" s="1"/>
  <c r="F18" i="18"/>
  <c r="G18" i="18" s="1"/>
  <c r="F59" i="18"/>
  <c r="G59" i="18" s="1"/>
  <c r="F58" i="18"/>
  <c r="F51" i="18"/>
  <c r="G51" i="18" s="1"/>
  <c r="F48" i="18"/>
  <c r="G48" i="18" s="1"/>
  <c r="F32" i="18"/>
  <c r="G32" i="18" s="1"/>
  <c r="F36" i="18"/>
  <c r="G36" i="18" s="1"/>
  <c r="F56" i="18"/>
  <c r="G56" i="18" s="1"/>
  <c r="G58" i="18"/>
  <c r="E55" i="16"/>
  <c r="F55" i="16" s="1"/>
  <c r="G39" i="17"/>
  <c r="H39" i="17" s="1"/>
  <c r="D62" i="17"/>
  <c r="F55" i="17" s="1"/>
  <c r="E27" i="17"/>
  <c r="F27" i="17" s="1"/>
  <c r="E58" i="16"/>
  <c r="F58" i="16" s="1"/>
  <c r="E57" i="16"/>
  <c r="F57" i="16" s="1"/>
  <c r="E56" i="16"/>
  <c r="F56" i="16" s="1"/>
  <c r="E22" i="16"/>
  <c r="F22" i="16" s="1"/>
  <c r="E19" i="16"/>
  <c r="F19" i="16" s="1"/>
  <c r="E54" i="16"/>
  <c r="F54" i="16" s="1"/>
  <c r="E53" i="16"/>
  <c r="F53" i="16" s="1"/>
  <c r="E52" i="16"/>
  <c r="F52" i="16" s="1"/>
  <c r="E51" i="16"/>
  <c r="F51" i="16" s="1"/>
  <c r="E50" i="16"/>
  <c r="F50" i="16" s="1"/>
  <c r="E49" i="16"/>
  <c r="F49" i="16" s="1"/>
  <c r="E48" i="16"/>
  <c r="F48" i="16" s="1"/>
  <c r="E47" i="16"/>
  <c r="F47" i="16" s="1"/>
  <c r="E46" i="16"/>
  <c r="F46" i="16" s="1"/>
  <c r="E45" i="16"/>
  <c r="F45" i="16" s="1"/>
  <c r="E44" i="16"/>
  <c r="F44" i="16" s="1"/>
  <c r="E43" i="16"/>
  <c r="F43" i="16" s="1"/>
  <c r="E42" i="16"/>
  <c r="F42" i="16" s="1"/>
  <c r="E41" i="16"/>
  <c r="F41" i="16" s="1"/>
  <c r="E40" i="16"/>
  <c r="F40" i="16" s="1"/>
  <c r="E39" i="16"/>
  <c r="F39" i="16" s="1"/>
  <c r="E38" i="16"/>
  <c r="F38" i="16" s="1"/>
  <c r="E37" i="16"/>
  <c r="F37" i="16" s="1"/>
  <c r="E36" i="16"/>
  <c r="F36" i="16" s="1"/>
  <c r="E35" i="16"/>
  <c r="F35" i="16" s="1"/>
  <c r="E34" i="16"/>
  <c r="F34" i="16" s="1"/>
  <c r="E33" i="16"/>
  <c r="F33" i="16" s="1"/>
  <c r="E32" i="16"/>
  <c r="F32" i="16" s="1"/>
  <c r="E31" i="16"/>
  <c r="F31" i="16" s="1"/>
  <c r="E30" i="16"/>
  <c r="F30" i="16" s="1"/>
  <c r="E29" i="16"/>
  <c r="F29" i="16" s="1"/>
  <c r="E28" i="16"/>
  <c r="F28" i="16" s="1"/>
  <c r="E27" i="16"/>
  <c r="F27" i="16" s="1"/>
  <c r="E59" i="16"/>
  <c r="F59" i="16" s="1"/>
  <c r="E25" i="16"/>
  <c r="F25" i="16" s="1"/>
  <c r="E23" i="16"/>
  <c r="F23" i="16" s="1"/>
  <c r="E21" i="16"/>
  <c r="F21" i="16" s="1"/>
  <c r="E18" i="16"/>
  <c r="F18" i="16" s="1"/>
  <c r="E24" i="16"/>
  <c r="F24" i="16" s="1"/>
  <c r="E20" i="16"/>
  <c r="F20" i="16" s="1"/>
  <c r="E26" i="16"/>
  <c r="F26" i="16" s="1"/>
  <c r="F39" i="15"/>
  <c r="G39" i="15"/>
  <c r="H39" i="15" s="1"/>
  <c r="D62" i="15"/>
  <c r="F55" i="15" s="1"/>
  <c r="F3" i="14"/>
  <c r="F16" i="14" s="1"/>
  <c r="D59" i="14"/>
  <c r="D55" i="14"/>
  <c r="D27" i="14"/>
  <c r="D26" i="14"/>
  <c r="E64" i="13"/>
  <c r="F64" i="13"/>
  <c r="G64" i="13"/>
  <c r="H64" i="13"/>
  <c r="D64" i="13"/>
  <c r="D63" i="13"/>
  <c r="E55" i="21" l="1"/>
  <c r="F55" i="21" s="1"/>
  <c r="H20" i="27"/>
  <c r="H65" i="27" s="1"/>
  <c r="F68" i="26"/>
  <c r="G23" i="26"/>
  <c r="G68" i="26" s="1"/>
  <c r="F68" i="25"/>
  <c r="G23" i="25"/>
  <c r="F67" i="24"/>
  <c r="G23" i="24"/>
  <c r="F62" i="23"/>
  <c r="G18" i="23"/>
  <c r="F62" i="22"/>
  <c r="G17" i="22"/>
  <c r="G62" i="22" s="1"/>
  <c r="E18" i="21"/>
  <c r="E22" i="21"/>
  <c r="F22" i="21" s="1"/>
  <c r="E30" i="21"/>
  <c r="F30" i="21" s="1"/>
  <c r="E34" i="21"/>
  <c r="F34" i="21" s="1"/>
  <c r="E38" i="21"/>
  <c r="E42" i="21"/>
  <c r="F42" i="21" s="1"/>
  <c r="E46" i="21"/>
  <c r="F46" i="21" s="1"/>
  <c r="E49" i="21"/>
  <c r="E53" i="21"/>
  <c r="F53" i="21" s="1"/>
  <c r="E57" i="21"/>
  <c r="F57" i="21" s="1"/>
  <c r="E23" i="21"/>
  <c r="F23" i="21" s="1"/>
  <c r="G23" i="21" s="1"/>
  <c r="H23" i="21" s="1"/>
  <c r="E27" i="21"/>
  <c r="E31" i="21"/>
  <c r="E35" i="21"/>
  <c r="F35" i="21" s="1"/>
  <c r="E39" i="21"/>
  <c r="F39" i="21" s="1"/>
  <c r="E43" i="21"/>
  <c r="E47" i="21"/>
  <c r="E50" i="21"/>
  <c r="F50" i="21" s="1"/>
  <c r="E54" i="21"/>
  <c r="E59" i="21"/>
  <c r="E20" i="21"/>
  <c r="E24" i="21"/>
  <c r="F24" i="21" s="1"/>
  <c r="G24" i="21" s="1"/>
  <c r="H24" i="21" s="1"/>
  <c r="E28" i="21"/>
  <c r="E32" i="21"/>
  <c r="E36" i="21"/>
  <c r="E40" i="21"/>
  <c r="F40" i="21" s="1"/>
  <c r="E44" i="21"/>
  <c r="F44" i="21" s="1"/>
  <c r="E58" i="21"/>
  <c r="E51" i="21"/>
  <c r="E21" i="21"/>
  <c r="F21" i="21" s="1"/>
  <c r="E29" i="21"/>
  <c r="E33" i="21"/>
  <c r="F33" i="21" s="1"/>
  <c r="E37" i="21"/>
  <c r="E41" i="21"/>
  <c r="F41" i="21" s="1"/>
  <c r="G41" i="21" s="1"/>
  <c r="E45" i="21"/>
  <c r="F45" i="21" s="1"/>
  <c r="G45" i="21" s="1"/>
  <c r="H45" i="21" s="1"/>
  <c r="E48" i="21"/>
  <c r="F48" i="21" s="1"/>
  <c r="E52" i="21"/>
  <c r="F52" i="21" s="1"/>
  <c r="E56" i="21"/>
  <c r="F56" i="21" s="1"/>
  <c r="G56" i="21" s="1"/>
  <c r="H56" i="21" s="1"/>
  <c r="E19" i="21"/>
  <c r="F19" i="21" s="1"/>
  <c r="E60" i="21"/>
  <c r="F60" i="21" s="1"/>
  <c r="G60" i="21" s="1"/>
  <c r="H60" i="21" s="1"/>
  <c r="E25" i="21"/>
  <c r="G53" i="21"/>
  <c r="H53" i="21" s="1"/>
  <c r="G40" i="21"/>
  <c r="G48" i="21"/>
  <c r="G21" i="21"/>
  <c r="H21" i="21" s="1"/>
  <c r="G33" i="21"/>
  <c r="G57" i="21"/>
  <c r="G22" i="21"/>
  <c r="H22" i="21" s="1"/>
  <c r="G44" i="21"/>
  <c r="H44" i="21" s="1"/>
  <c r="G52" i="21"/>
  <c r="H52" i="21" s="1"/>
  <c r="E17" i="21"/>
  <c r="F17" i="21" s="1"/>
  <c r="G26" i="21"/>
  <c r="H26" i="21" s="1"/>
  <c r="G30" i="21"/>
  <c r="H30" i="21" s="1"/>
  <c r="G34" i="21"/>
  <c r="H34" i="21" s="1"/>
  <c r="G42" i="21"/>
  <c r="H42" i="21" s="1"/>
  <c r="G46" i="21"/>
  <c r="G50" i="21"/>
  <c r="H50" i="21" s="1"/>
  <c r="G35" i="21"/>
  <c r="H35" i="21" s="1"/>
  <c r="G39" i="21"/>
  <c r="G55" i="21"/>
  <c r="G19" i="21"/>
  <c r="H19" i="21" s="1"/>
  <c r="E62" i="20"/>
  <c r="F62" i="20" s="1"/>
  <c r="E64" i="20"/>
  <c r="F64" i="20" s="1"/>
  <c r="G64" i="20" s="1"/>
  <c r="H64" i="20" s="1"/>
  <c r="E61" i="20"/>
  <c r="F61" i="20" s="1"/>
  <c r="E31" i="20"/>
  <c r="F31" i="20" s="1"/>
  <c r="G31" i="20" s="1"/>
  <c r="H31" i="20" s="1"/>
  <c r="E29" i="20"/>
  <c r="F29" i="20" s="1"/>
  <c r="G29" i="20" s="1"/>
  <c r="H29" i="20" s="1"/>
  <c r="E38" i="20"/>
  <c r="F38" i="20" s="1"/>
  <c r="G38" i="20" s="1"/>
  <c r="H38" i="20" s="1"/>
  <c r="E32" i="20"/>
  <c r="F32" i="20" s="1"/>
  <c r="E51" i="20"/>
  <c r="F51" i="20" s="1"/>
  <c r="E48" i="20"/>
  <c r="F48" i="20" s="1"/>
  <c r="E49" i="20"/>
  <c r="F49" i="20" s="1"/>
  <c r="G49" i="20" s="1"/>
  <c r="H49" i="20" s="1"/>
  <c r="E46" i="20"/>
  <c r="F46" i="20" s="1"/>
  <c r="E35" i="20"/>
  <c r="F35" i="20" s="1"/>
  <c r="G35" i="20" s="1"/>
  <c r="H35" i="20" s="1"/>
  <c r="E66" i="20"/>
  <c r="F66" i="20" s="1"/>
  <c r="G66" i="20" s="1"/>
  <c r="H66" i="20" s="1"/>
  <c r="E30" i="20"/>
  <c r="F30" i="20" s="1"/>
  <c r="G30" i="20" s="1"/>
  <c r="H30" i="20" s="1"/>
  <c r="E41" i="20"/>
  <c r="F41" i="20" s="1"/>
  <c r="E60" i="20"/>
  <c r="F60" i="20" s="1"/>
  <c r="G60" i="20" s="1"/>
  <c r="H60" i="20" s="1"/>
  <c r="E44" i="20"/>
  <c r="F44" i="20" s="1"/>
  <c r="G44" i="20" s="1"/>
  <c r="H44" i="20" s="1"/>
  <c r="E28" i="20"/>
  <c r="F28" i="20" s="1"/>
  <c r="G28" i="20" s="1"/>
  <c r="H28" i="20" s="1"/>
  <c r="E42" i="20"/>
  <c r="F42" i="20" s="1"/>
  <c r="E53" i="20"/>
  <c r="F53" i="20" s="1"/>
  <c r="G53" i="20" s="1"/>
  <c r="H53" i="20" s="1"/>
  <c r="E63" i="20"/>
  <c r="F63" i="20" s="1"/>
  <c r="G63" i="20" s="1"/>
  <c r="H63" i="20" s="1"/>
  <c r="E47" i="20"/>
  <c r="F47" i="20" s="1"/>
  <c r="E27" i="20"/>
  <c r="F27" i="20" s="1"/>
  <c r="E22" i="20"/>
  <c r="F22" i="20" s="1"/>
  <c r="G22" i="20" s="1"/>
  <c r="H22" i="20" s="1"/>
  <c r="E58" i="20"/>
  <c r="F58" i="20" s="1"/>
  <c r="G58" i="20" s="1"/>
  <c r="H58" i="20" s="1"/>
  <c r="E65" i="20"/>
  <c r="F65" i="20" s="1"/>
  <c r="G65" i="20" s="1"/>
  <c r="H65" i="20" s="1"/>
  <c r="E33" i="20"/>
  <c r="F33" i="20" s="1"/>
  <c r="E56" i="20"/>
  <c r="F56" i="20" s="1"/>
  <c r="G56" i="20" s="1"/>
  <c r="H56" i="20" s="1"/>
  <c r="E40" i="20"/>
  <c r="F40" i="20" s="1"/>
  <c r="G40" i="20" s="1"/>
  <c r="H40" i="20" s="1"/>
  <c r="E24" i="20"/>
  <c r="F24" i="20" s="1"/>
  <c r="E34" i="20"/>
  <c r="F34" i="20" s="1"/>
  <c r="E45" i="20"/>
  <c r="F45" i="20" s="1"/>
  <c r="G45" i="20" s="1"/>
  <c r="H45" i="20" s="1"/>
  <c r="E59" i="20"/>
  <c r="F59" i="20" s="1"/>
  <c r="G59" i="20" s="1"/>
  <c r="H59" i="20" s="1"/>
  <c r="E43" i="20"/>
  <c r="F43" i="20" s="1"/>
  <c r="G43" i="20" s="1"/>
  <c r="H43" i="20" s="1"/>
  <c r="E23" i="20"/>
  <c r="F23" i="20" s="1"/>
  <c r="E50" i="20"/>
  <c r="F50" i="20" s="1"/>
  <c r="G50" i="20" s="1"/>
  <c r="H50" i="20" s="1"/>
  <c r="E57" i="20"/>
  <c r="F57" i="20" s="1"/>
  <c r="G57" i="20" s="1"/>
  <c r="H57" i="20" s="1"/>
  <c r="E25" i="20"/>
  <c r="F25" i="20" s="1"/>
  <c r="G25" i="20" s="1"/>
  <c r="H25" i="20" s="1"/>
  <c r="E52" i="20"/>
  <c r="F52" i="20" s="1"/>
  <c r="E36" i="20"/>
  <c r="F36" i="20" s="1"/>
  <c r="G36" i="20" s="1"/>
  <c r="H36" i="20" s="1"/>
  <c r="E54" i="20"/>
  <c r="F54" i="20" s="1"/>
  <c r="E26" i="20"/>
  <c r="F26" i="20" s="1"/>
  <c r="G26" i="20" s="1"/>
  <c r="H26" i="20" s="1"/>
  <c r="E37" i="20"/>
  <c r="F37" i="20" s="1"/>
  <c r="E55" i="20"/>
  <c r="F55" i="20" s="1"/>
  <c r="G55" i="20" s="1"/>
  <c r="H55" i="20" s="1"/>
  <c r="G62" i="20"/>
  <c r="H62" i="20" s="1"/>
  <c r="G52" i="20"/>
  <c r="H52" i="20" s="1"/>
  <c r="G61" i="20"/>
  <c r="H61" i="20" s="1"/>
  <c r="G33" i="20"/>
  <c r="H33" i="20" s="1"/>
  <c r="G37" i="20"/>
  <c r="H37" i="20" s="1"/>
  <c r="G34" i="20"/>
  <c r="H34" i="20" s="1"/>
  <c r="G42" i="20"/>
  <c r="H42" i="20" s="1"/>
  <c r="G46" i="20"/>
  <c r="H46" i="20" s="1"/>
  <c r="G27" i="20"/>
  <c r="H27" i="20" s="1"/>
  <c r="G32" i="20"/>
  <c r="H32" i="20" s="1"/>
  <c r="G41" i="20"/>
  <c r="H41" i="20" s="1"/>
  <c r="G23" i="20"/>
  <c r="H23" i="20" s="1"/>
  <c r="G24" i="20"/>
  <c r="H24" i="20" s="1"/>
  <c r="G39" i="20"/>
  <c r="H39" i="20" s="1"/>
  <c r="G47" i="20"/>
  <c r="H47" i="20" s="1"/>
  <c r="G51" i="20"/>
  <c r="H51" i="20" s="1"/>
  <c r="G48" i="20"/>
  <c r="H48" i="20" s="1"/>
  <c r="E23" i="19"/>
  <c r="F23" i="19" s="1"/>
  <c r="E24" i="19"/>
  <c r="F24" i="19" s="1"/>
  <c r="E28" i="19"/>
  <c r="F28" i="19" s="1"/>
  <c r="E32" i="19"/>
  <c r="F32" i="19" s="1"/>
  <c r="E36" i="19"/>
  <c r="F36" i="19" s="1"/>
  <c r="E40" i="19"/>
  <c r="F40" i="19" s="1"/>
  <c r="E44" i="19"/>
  <c r="F44" i="19" s="1"/>
  <c r="E48" i="19"/>
  <c r="F48" i="19" s="1"/>
  <c r="E52" i="19"/>
  <c r="F52" i="19" s="1"/>
  <c r="E56" i="19"/>
  <c r="F56" i="19" s="1"/>
  <c r="E30" i="19"/>
  <c r="F30" i="19" s="1"/>
  <c r="E34" i="19"/>
  <c r="F34" i="19" s="1"/>
  <c r="E38" i="19"/>
  <c r="F38" i="19" s="1"/>
  <c r="E42" i="19"/>
  <c r="F42" i="19" s="1"/>
  <c r="E46" i="19"/>
  <c r="F46" i="19" s="1"/>
  <c r="E50" i="19"/>
  <c r="F50" i="19" s="1"/>
  <c r="E54" i="19"/>
  <c r="F54" i="19" s="1"/>
  <c r="G54" i="19" s="1"/>
  <c r="H54" i="19" s="1"/>
  <c r="E58" i="19"/>
  <c r="F58" i="19" s="1"/>
  <c r="E62" i="19"/>
  <c r="F62" i="19" s="1"/>
  <c r="E35" i="19"/>
  <c r="F35" i="19" s="1"/>
  <c r="E39" i="19"/>
  <c r="F39" i="19" s="1"/>
  <c r="E47" i="19"/>
  <c r="F47" i="19" s="1"/>
  <c r="E55" i="19"/>
  <c r="F55" i="19" s="1"/>
  <c r="E63" i="19"/>
  <c r="F63" i="19" s="1"/>
  <c r="E25" i="19"/>
  <c r="E29" i="19"/>
  <c r="F29" i="19" s="1"/>
  <c r="E33" i="19"/>
  <c r="F33" i="19" s="1"/>
  <c r="E37" i="19"/>
  <c r="F37" i="19" s="1"/>
  <c r="E41" i="19"/>
  <c r="F41" i="19" s="1"/>
  <c r="E45" i="19"/>
  <c r="F45" i="19" s="1"/>
  <c r="E49" i="19"/>
  <c r="F49" i="19" s="1"/>
  <c r="E53" i="19"/>
  <c r="F53" i="19" s="1"/>
  <c r="E57" i="19"/>
  <c r="F57" i="19" s="1"/>
  <c r="E61" i="19"/>
  <c r="F61" i="19" s="1"/>
  <c r="E27" i="19"/>
  <c r="F27" i="19" s="1"/>
  <c r="E43" i="19"/>
  <c r="F43" i="19" s="1"/>
  <c r="E51" i="19"/>
  <c r="F51" i="19" s="1"/>
  <c r="E59" i="19"/>
  <c r="F59" i="19" s="1"/>
  <c r="E26" i="19"/>
  <c r="F26" i="19" s="1"/>
  <c r="E60" i="19"/>
  <c r="F60" i="19" s="1"/>
  <c r="E31" i="19"/>
  <c r="F31" i="19" s="1"/>
  <c r="E64" i="19"/>
  <c r="F64" i="19" s="1"/>
  <c r="E22" i="19"/>
  <c r="F25" i="19"/>
  <c r="G25" i="19" s="1"/>
  <c r="F28" i="18"/>
  <c r="G28" i="18" s="1"/>
  <c r="F40" i="18"/>
  <c r="G40" i="18" s="1"/>
  <c r="I40" i="18" s="1"/>
  <c r="F55" i="18"/>
  <c r="G55" i="18" s="1"/>
  <c r="F47" i="18"/>
  <c r="G47" i="18" s="1"/>
  <c r="F22" i="18"/>
  <c r="G22" i="18" s="1"/>
  <c r="H22" i="18" s="1"/>
  <c r="I22" i="18" s="1"/>
  <c r="F27" i="18"/>
  <c r="G27" i="18" s="1"/>
  <c r="H27" i="18" s="1"/>
  <c r="I27" i="18" s="1"/>
  <c r="F39" i="18"/>
  <c r="G39" i="18" s="1"/>
  <c r="F43" i="18"/>
  <c r="G43" i="18" s="1"/>
  <c r="F26" i="18"/>
  <c r="G26" i="18" s="1"/>
  <c r="F49" i="18"/>
  <c r="G49" i="18" s="1"/>
  <c r="I49" i="18" s="1"/>
  <c r="F23" i="18"/>
  <c r="G23" i="18" s="1"/>
  <c r="F35" i="18"/>
  <c r="G35" i="18" s="1"/>
  <c r="F34" i="18"/>
  <c r="G34" i="18" s="1"/>
  <c r="F33" i="18"/>
  <c r="G33" i="18" s="1"/>
  <c r="F37" i="18"/>
  <c r="G37" i="18" s="1"/>
  <c r="F44" i="18"/>
  <c r="G44" i="18" s="1"/>
  <c r="F52" i="18"/>
  <c r="G52" i="18" s="1"/>
  <c r="H52" i="18" s="1"/>
  <c r="I52" i="18" s="1"/>
  <c r="F42" i="18"/>
  <c r="G42" i="18" s="1"/>
  <c r="F41" i="18"/>
  <c r="G41" i="18" s="1"/>
  <c r="F50" i="18"/>
  <c r="G50" i="18" s="1"/>
  <c r="H50" i="18" s="1"/>
  <c r="I50" i="18" s="1"/>
  <c r="F20" i="18"/>
  <c r="G20" i="18" s="1"/>
  <c r="F24" i="18"/>
  <c r="G24" i="18" s="1"/>
  <c r="H24" i="18" s="1"/>
  <c r="I24" i="18" s="1"/>
  <c r="F31" i="18"/>
  <c r="G31" i="18" s="1"/>
  <c r="F30" i="18"/>
  <c r="G30" i="18" s="1"/>
  <c r="F29" i="18"/>
  <c r="G29" i="18" s="1"/>
  <c r="H29" i="18" s="1"/>
  <c r="I29" i="18" s="1"/>
  <c r="F38" i="18"/>
  <c r="G38" i="18" s="1"/>
  <c r="H38" i="18" s="1"/>
  <c r="I38" i="18" s="1"/>
  <c r="F46" i="18"/>
  <c r="G46" i="18" s="1"/>
  <c r="F54" i="18"/>
  <c r="G54" i="18" s="1"/>
  <c r="H54" i="18" s="1"/>
  <c r="I54" i="18" s="1"/>
  <c r="F57" i="18"/>
  <c r="G57" i="18" s="1"/>
  <c r="H57" i="18" s="1"/>
  <c r="I57" i="18" s="1"/>
  <c r="F45" i="18"/>
  <c r="G45" i="18" s="1"/>
  <c r="F53" i="18"/>
  <c r="G53" i="18" s="1"/>
  <c r="F21" i="18"/>
  <c r="G21" i="18" s="1"/>
  <c r="H21" i="18" s="1"/>
  <c r="I21" i="18" s="1"/>
  <c r="H34" i="18"/>
  <c r="H37" i="18"/>
  <c r="I37" i="18" s="1"/>
  <c r="H35" i="18"/>
  <c r="H33" i="18"/>
  <c r="I33" i="18" s="1"/>
  <c r="H51" i="18"/>
  <c r="I51" i="18"/>
  <c r="H59" i="18"/>
  <c r="I59" i="18" s="1"/>
  <c r="H31" i="18"/>
  <c r="I31" i="18"/>
  <c r="H28" i="18"/>
  <c r="I28" i="18" s="1"/>
  <c r="H40" i="18"/>
  <c r="H48" i="18"/>
  <c r="I48" i="18" s="1"/>
  <c r="H53" i="18"/>
  <c r="I53" i="18" s="1"/>
  <c r="H36" i="18"/>
  <c r="I36" i="18" s="1"/>
  <c r="H45" i="18"/>
  <c r="I45" i="18" s="1"/>
  <c r="H49" i="18"/>
  <c r="H26" i="18"/>
  <c r="I26" i="18" s="1"/>
  <c r="H30" i="18"/>
  <c r="I30" i="18" s="1"/>
  <c r="H18" i="18"/>
  <c r="H60" i="18"/>
  <c r="I60" i="18" s="1"/>
  <c r="H42" i="18"/>
  <c r="I42" i="18" s="1"/>
  <c r="H46" i="18"/>
  <c r="I46" i="18" s="1"/>
  <c r="H58" i="18"/>
  <c r="I58" i="18" s="1"/>
  <c r="H39" i="18"/>
  <c r="I39" i="18" s="1"/>
  <c r="H25" i="18"/>
  <c r="I25" i="18" s="1"/>
  <c r="H41" i="18"/>
  <c r="I41" i="18" s="1"/>
  <c r="H32" i="18"/>
  <c r="I32" i="18" s="1"/>
  <c r="H19" i="18"/>
  <c r="I19" i="18" s="1"/>
  <c r="H23" i="18"/>
  <c r="I23" i="18" s="1"/>
  <c r="H55" i="18"/>
  <c r="I55" i="18" s="1"/>
  <c r="H43" i="18"/>
  <c r="I43" i="18" s="1"/>
  <c r="H47" i="18"/>
  <c r="I47" i="18" s="1"/>
  <c r="H56" i="18"/>
  <c r="I56" i="18" s="1"/>
  <c r="G55" i="17"/>
  <c r="H55" i="17" s="1"/>
  <c r="G27" i="17"/>
  <c r="H27" i="17" s="1"/>
  <c r="F60" i="17"/>
  <c r="F59" i="17"/>
  <c r="F58" i="17"/>
  <c r="F57" i="17"/>
  <c r="F61" i="17"/>
  <c r="F56" i="17"/>
  <c r="F54" i="17"/>
  <c r="F53" i="17"/>
  <c r="F52" i="17"/>
  <c r="F51" i="17"/>
  <c r="F50" i="17"/>
  <c r="F49" i="17"/>
  <c r="F48" i="17"/>
  <c r="F47" i="17"/>
  <c r="F46" i="17"/>
  <c r="F45" i="17"/>
  <c r="F44" i="17"/>
  <c r="F43" i="17"/>
  <c r="F42" i="17"/>
  <c r="F41" i="17"/>
  <c r="F40" i="17"/>
  <c r="E38" i="17"/>
  <c r="F38" i="17" s="1"/>
  <c r="E37" i="17"/>
  <c r="F37" i="17" s="1"/>
  <c r="E36" i="17"/>
  <c r="F36" i="17" s="1"/>
  <c r="E35" i="17"/>
  <c r="F35" i="17" s="1"/>
  <c r="E34" i="17"/>
  <c r="F34" i="17" s="1"/>
  <c r="E33" i="17"/>
  <c r="F33" i="17" s="1"/>
  <c r="E32" i="17"/>
  <c r="F32" i="17" s="1"/>
  <c r="E31" i="17"/>
  <c r="F31" i="17" s="1"/>
  <c r="E30" i="17"/>
  <c r="F30" i="17" s="1"/>
  <c r="E29" i="17"/>
  <c r="F29" i="17" s="1"/>
  <c r="E28" i="17"/>
  <c r="F28" i="17" s="1"/>
  <c r="E25" i="17"/>
  <c r="F25" i="17" s="1"/>
  <c r="E24" i="17"/>
  <c r="F24" i="17" s="1"/>
  <c r="E23" i="17"/>
  <c r="F23" i="17" s="1"/>
  <c r="E22" i="17"/>
  <c r="F22" i="17" s="1"/>
  <c r="E18" i="17"/>
  <c r="E19" i="17"/>
  <c r="F19" i="17" s="1"/>
  <c r="E21" i="17"/>
  <c r="F21" i="17" s="1"/>
  <c r="E20" i="17"/>
  <c r="F20" i="17" s="1"/>
  <c r="E26" i="17"/>
  <c r="F26" i="17" s="1"/>
  <c r="G26" i="16"/>
  <c r="H26" i="16" s="1"/>
  <c r="G21" i="16"/>
  <c r="H21" i="16" s="1"/>
  <c r="G27" i="16"/>
  <c r="H27" i="16" s="1"/>
  <c r="G31" i="16"/>
  <c r="H31" i="16" s="1"/>
  <c r="G35" i="16"/>
  <c r="H35" i="16" s="1"/>
  <c r="G39" i="16"/>
  <c r="H39" i="16" s="1"/>
  <c r="G43" i="16"/>
  <c r="H43" i="16" s="1"/>
  <c r="G47" i="16"/>
  <c r="H47" i="16" s="1"/>
  <c r="G51" i="16"/>
  <c r="H51" i="16" s="1"/>
  <c r="G19" i="16"/>
  <c r="H19" i="16" s="1"/>
  <c r="G58" i="16"/>
  <c r="H58" i="16" s="1"/>
  <c r="G20" i="16"/>
  <c r="H20" i="16" s="1"/>
  <c r="G23" i="16"/>
  <c r="H23" i="16" s="1"/>
  <c r="G22" i="16"/>
  <c r="H22" i="16" s="1"/>
  <c r="G24" i="16"/>
  <c r="H24" i="16" s="1"/>
  <c r="G56" i="16"/>
  <c r="H56" i="16" s="1"/>
  <c r="G25" i="16"/>
  <c r="H25" i="16" s="1"/>
  <c r="G28" i="16"/>
  <c r="H28" i="16" s="1"/>
  <c r="G32" i="16"/>
  <c r="H32" i="16" s="1"/>
  <c r="G36" i="16"/>
  <c r="H36" i="16" s="1"/>
  <c r="G40" i="16"/>
  <c r="H40" i="16" s="1"/>
  <c r="G44" i="16"/>
  <c r="H44" i="16" s="1"/>
  <c r="G48" i="16"/>
  <c r="H48" i="16" s="1"/>
  <c r="G52" i="16"/>
  <c r="H52" i="16" s="1"/>
  <c r="F60" i="16"/>
  <c r="G18" i="16"/>
  <c r="G59" i="16"/>
  <c r="H59" i="16" s="1"/>
  <c r="G55" i="16"/>
  <c r="H55" i="16" s="1"/>
  <c r="G29" i="16"/>
  <c r="H29" i="16" s="1"/>
  <c r="G33" i="16"/>
  <c r="H33" i="16" s="1"/>
  <c r="G37" i="16"/>
  <c r="H37" i="16" s="1"/>
  <c r="G41" i="16"/>
  <c r="H41" i="16" s="1"/>
  <c r="G45" i="16"/>
  <c r="H45" i="16" s="1"/>
  <c r="G49" i="16"/>
  <c r="H49" i="16" s="1"/>
  <c r="G53" i="16"/>
  <c r="H53" i="16" s="1"/>
  <c r="G57" i="16"/>
  <c r="H57" i="16" s="1"/>
  <c r="G30" i="16"/>
  <c r="H30" i="16" s="1"/>
  <c r="G34" i="16"/>
  <c r="H34" i="16" s="1"/>
  <c r="G38" i="16"/>
  <c r="H38" i="16" s="1"/>
  <c r="G42" i="16"/>
  <c r="H42" i="16" s="1"/>
  <c r="G46" i="16"/>
  <c r="H46" i="16" s="1"/>
  <c r="G50" i="16"/>
  <c r="H50" i="16" s="1"/>
  <c r="G54" i="16"/>
  <c r="H54" i="16" s="1"/>
  <c r="E60" i="16"/>
  <c r="G55" i="15"/>
  <c r="H55" i="15" s="1"/>
  <c r="F60" i="15"/>
  <c r="F59" i="15"/>
  <c r="F58" i="15"/>
  <c r="F57" i="15"/>
  <c r="F56" i="15"/>
  <c r="F54" i="15"/>
  <c r="F53" i="15"/>
  <c r="F52" i="15"/>
  <c r="F51" i="15"/>
  <c r="F50" i="15"/>
  <c r="F49" i="15"/>
  <c r="F48" i="15"/>
  <c r="F47" i="15"/>
  <c r="F46" i="15"/>
  <c r="F45" i="15"/>
  <c r="F44" i="15"/>
  <c r="F43" i="15"/>
  <c r="F42" i="15"/>
  <c r="F41" i="15"/>
  <c r="F40" i="15"/>
  <c r="F38" i="15"/>
  <c r="F37" i="15"/>
  <c r="F36" i="15"/>
  <c r="F35" i="15"/>
  <c r="F34" i="15"/>
  <c r="F33" i="15"/>
  <c r="F32" i="15"/>
  <c r="F31" i="15"/>
  <c r="F30" i="15"/>
  <c r="F29" i="15"/>
  <c r="F28" i="15"/>
  <c r="F25" i="15"/>
  <c r="F23" i="15"/>
  <c r="F21" i="15"/>
  <c r="F19" i="15"/>
  <c r="F24" i="15"/>
  <c r="F22" i="15"/>
  <c r="F20" i="15"/>
  <c r="E18" i="15"/>
  <c r="F27" i="15"/>
  <c r="F61" i="15"/>
  <c r="F26" i="15"/>
  <c r="E59" i="14"/>
  <c r="E27" i="14"/>
  <c r="F27" i="14" s="1"/>
  <c r="E26" i="14"/>
  <c r="F26" i="14" s="1"/>
  <c r="D60" i="14"/>
  <c r="F59" i="14"/>
  <c r="D62" i="13"/>
  <c r="D58" i="13"/>
  <c r="D27" i="13"/>
  <c r="D26" i="13"/>
  <c r="E26" i="13" s="1"/>
  <c r="F26" i="13" s="1"/>
  <c r="F3" i="13"/>
  <c r="F16" i="13" s="1"/>
  <c r="F3" i="12"/>
  <c r="D61" i="12"/>
  <c r="D57" i="12"/>
  <c r="D27" i="12"/>
  <c r="D26" i="12"/>
  <c r="D59" i="11"/>
  <c r="D55" i="11"/>
  <c r="D27" i="11"/>
  <c r="D26" i="11"/>
  <c r="F3" i="11"/>
  <c r="D63" i="10"/>
  <c r="D59" i="10"/>
  <c r="D30" i="10"/>
  <c r="D29" i="10"/>
  <c r="F18" i="10"/>
  <c r="F14" i="10"/>
  <c r="F5" i="10"/>
  <c r="F3" i="10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D62" i="9"/>
  <c r="D58" i="9"/>
  <c r="D29" i="9"/>
  <c r="D28" i="9"/>
  <c r="F17" i="9"/>
  <c r="F13" i="9"/>
  <c r="F6" i="9"/>
  <c r="F5" i="9"/>
  <c r="F18" i="9" s="1"/>
  <c r="F3" i="9"/>
  <c r="G56" i="7"/>
  <c r="F17" i="8"/>
  <c r="F13" i="8"/>
  <c r="F6" i="8"/>
  <c r="F5" i="8"/>
  <c r="F3" i="8"/>
  <c r="F18" i="8"/>
  <c r="F29" i="21" l="1"/>
  <c r="G29" i="21" s="1"/>
  <c r="H29" i="21" s="1"/>
  <c r="F28" i="21"/>
  <c r="G28" i="21" s="1"/>
  <c r="F54" i="21"/>
  <c r="G54" i="21" s="1"/>
  <c r="H54" i="21" s="1"/>
  <c r="F25" i="21"/>
  <c r="G25" i="21" s="1"/>
  <c r="H25" i="21" s="1"/>
  <c r="F37" i="21"/>
  <c r="G37" i="21" s="1"/>
  <c r="H37" i="21" s="1"/>
  <c r="F51" i="21"/>
  <c r="G51" i="21" s="1"/>
  <c r="H51" i="21" s="1"/>
  <c r="F36" i="21"/>
  <c r="G36" i="21" s="1"/>
  <c r="H36" i="21" s="1"/>
  <c r="F20" i="21"/>
  <c r="G20" i="21" s="1"/>
  <c r="H20" i="21" s="1"/>
  <c r="F47" i="21"/>
  <c r="G47" i="21" s="1"/>
  <c r="H47" i="21" s="1"/>
  <c r="F31" i="21"/>
  <c r="G31" i="21" s="1"/>
  <c r="F38" i="21"/>
  <c r="G38" i="21" s="1"/>
  <c r="H38" i="21" s="1"/>
  <c r="F18" i="21"/>
  <c r="G18" i="21" s="1"/>
  <c r="H18" i="21" s="1"/>
  <c r="F58" i="21"/>
  <c r="G58" i="21" s="1"/>
  <c r="H58" i="21" s="1"/>
  <c r="F32" i="21"/>
  <c r="G32" i="21" s="1"/>
  <c r="H32" i="21" s="1"/>
  <c r="F59" i="21"/>
  <c r="G59" i="21" s="1"/>
  <c r="H59" i="21" s="1"/>
  <c r="F43" i="21"/>
  <c r="G43" i="21" s="1"/>
  <c r="H43" i="21" s="1"/>
  <c r="F27" i="21"/>
  <c r="G27" i="21" s="1"/>
  <c r="H27" i="21" s="1"/>
  <c r="F49" i="21"/>
  <c r="G49" i="21" s="1"/>
  <c r="H49" i="21" s="1"/>
  <c r="H23" i="26"/>
  <c r="H68" i="26" s="1"/>
  <c r="G68" i="25"/>
  <c r="H23" i="25"/>
  <c r="H68" i="25" s="1"/>
  <c r="G67" i="24"/>
  <c r="H23" i="24"/>
  <c r="H67" i="24" s="1"/>
  <c r="G62" i="23"/>
  <c r="H18" i="23"/>
  <c r="H62" i="23" s="1"/>
  <c r="H17" i="22"/>
  <c r="H62" i="22" s="1"/>
  <c r="E61" i="21"/>
  <c r="H41" i="21"/>
  <c r="H55" i="21"/>
  <c r="H46" i="21"/>
  <c r="H40" i="21"/>
  <c r="H48" i="21"/>
  <c r="H57" i="21"/>
  <c r="H33" i="21"/>
  <c r="H39" i="21"/>
  <c r="G17" i="21"/>
  <c r="F67" i="20"/>
  <c r="E67" i="20"/>
  <c r="G54" i="20"/>
  <c r="H54" i="20" s="1"/>
  <c r="H67" i="20" s="1"/>
  <c r="G29" i="19"/>
  <c r="H29" i="19" s="1"/>
  <c r="G34" i="19"/>
  <c r="H34" i="19" s="1"/>
  <c r="G42" i="19"/>
  <c r="H42" i="19" s="1"/>
  <c r="G50" i="19"/>
  <c r="H50" i="19" s="1"/>
  <c r="G55" i="19"/>
  <c r="H55" i="19" s="1"/>
  <c r="G23" i="19"/>
  <c r="H23" i="19" s="1"/>
  <c r="G35" i="19"/>
  <c r="H35" i="19" s="1"/>
  <c r="G43" i="19"/>
  <c r="H43" i="19" s="1"/>
  <c r="G51" i="19"/>
  <c r="H51" i="19" s="1"/>
  <c r="G60" i="19"/>
  <c r="H60" i="19" s="1"/>
  <c r="G24" i="19"/>
  <c r="H24" i="19" s="1"/>
  <c r="G28" i="19"/>
  <c r="H28" i="19" s="1"/>
  <c r="G32" i="19"/>
  <c r="H32" i="19" s="1"/>
  <c r="G36" i="19"/>
  <c r="H36" i="19" s="1"/>
  <c r="G40" i="19"/>
  <c r="H40" i="19" s="1"/>
  <c r="G44" i="19"/>
  <c r="H44" i="19" s="1"/>
  <c r="G48" i="19"/>
  <c r="H48" i="19" s="1"/>
  <c r="G52" i="19"/>
  <c r="H52" i="19" s="1"/>
  <c r="G57" i="19"/>
  <c r="H57" i="19" s="1"/>
  <c r="G61" i="19"/>
  <c r="H61" i="19" s="1"/>
  <c r="G30" i="19"/>
  <c r="H30" i="19" s="1"/>
  <c r="G26" i="19"/>
  <c r="H26" i="19" s="1"/>
  <c r="G38" i="19"/>
  <c r="H38" i="19" s="1"/>
  <c r="G46" i="19"/>
  <c r="H46" i="19" s="1"/>
  <c r="G59" i="19"/>
  <c r="H59" i="19" s="1"/>
  <c r="G27" i="19"/>
  <c r="H27" i="19" s="1"/>
  <c r="G64" i="19"/>
  <c r="H64" i="19" s="1"/>
  <c r="G39" i="19"/>
  <c r="H39" i="19" s="1"/>
  <c r="G47" i="19"/>
  <c r="H47" i="19" s="1"/>
  <c r="G56" i="19"/>
  <c r="H56" i="19" s="1"/>
  <c r="G31" i="19"/>
  <c r="H31" i="19" s="1"/>
  <c r="H25" i="19"/>
  <c r="F22" i="19"/>
  <c r="G22" i="19" s="1"/>
  <c r="E65" i="19"/>
  <c r="G33" i="19"/>
  <c r="H33" i="19" s="1"/>
  <c r="G37" i="19"/>
  <c r="H37" i="19" s="1"/>
  <c r="G41" i="19"/>
  <c r="H41" i="19" s="1"/>
  <c r="G45" i="19"/>
  <c r="H45" i="19" s="1"/>
  <c r="G49" i="19"/>
  <c r="H49" i="19" s="1"/>
  <c r="G53" i="19"/>
  <c r="H53" i="19" s="1"/>
  <c r="G58" i="19"/>
  <c r="H58" i="19" s="1"/>
  <c r="G62" i="19"/>
  <c r="H62" i="19" s="1"/>
  <c r="G63" i="19"/>
  <c r="H63" i="19" s="1"/>
  <c r="I44" i="18"/>
  <c r="I35" i="18"/>
  <c r="H44" i="18"/>
  <c r="G61" i="18"/>
  <c r="I34" i="18"/>
  <c r="F61" i="18"/>
  <c r="H20" i="18"/>
  <c r="I20" i="18" s="1"/>
  <c r="I18" i="18"/>
  <c r="G19" i="17"/>
  <c r="H19" i="17" s="1"/>
  <c r="G24" i="17"/>
  <c r="H24" i="17" s="1"/>
  <c r="G30" i="17"/>
  <c r="H30" i="17" s="1"/>
  <c r="G34" i="17"/>
  <c r="H34" i="17" s="1"/>
  <c r="G38" i="17"/>
  <c r="H38" i="17" s="1"/>
  <c r="G43" i="17"/>
  <c r="H43" i="17" s="1"/>
  <c r="G47" i="17"/>
  <c r="H47" i="17" s="1"/>
  <c r="G51" i="17"/>
  <c r="H51" i="17" s="1"/>
  <c r="G56" i="17"/>
  <c r="H56" i="17" s="1"/>
  <c r="G59" i="17"/>
  <c r="H59" i="17" s="1"/>
  <c r="G26" i="17"/>
  <c r="H26" i="17" s="1"/>
  <c r="E62" i="17"/>
  <c r="F18" i="17"/>
  <c r="G25" i="17"/>
  <c r="H25" i="17" s="1"/>
  <c r="G31" i="17"/>
  <c r="H31" i="17" s="1"/>
  <c r="G35" i="17"/>
  <c r="H35" i="17" s="1"/>
  <c r="G40" i="17"/>
  <c r="H40" i="17" s="1"/>
  <c r="G44" i="17"/>
  <c r="H44" i="17" s="1"/>
  <c r="G48" i="17"/>
  <c r="H48" i="17" s="1"/>
  <c r="G52" i="17"/>
  <c r="H52" i="17" s="1"/>
  <c r="G61" i="17"/>
  <c r="H61" i="17" s="1"/>
  <c r="G60" i="17"/>
  <c r="H60" i="17" s="1"/>
  <c r="G20" i="17"/>
  <c r="H20" i="17" s="1"/>
  <c r="G22" i="17"/>
  <c r="H22" i="17" s="1"/>
  <c r="G28" i="17"/>
  <c r="H28" i="17" s="1"/>
  <c r="G32" i="17"/>
  <c r="H32" i="17" s="1"/>
  <c r="G36" i="17"/>
  <c r="H36" i="17" s="1"/>
  <c r="G41" i="17"/>
  <c r="H41" i="17" s="1"/>
  <c r="G45" i="17"/>
  <c r="H45" i="17"/>
  <c r="G49" i="17"/>
  <c r="H49" i="17" s="1"/>
  <c r="G53" i="17"/>
  <c r="H53" i="17" s="1"/>
  <c r="G57" i="17"/>
  <c r="H57" i="17" s="1"/>
  <c r="G21" i="17"/>
  <c r="H21" i="17" s="1"/>
  <c r="G23" i="17"/>
  <c r="H23" i="17" s="1"/>
  <c r="G29" i="17"/>
  <c r="H29" i="17" s="1"/>
  <c r="H33" i="17"/>
  <c r="G33" i="17"/>
  <c r="G37" i="17"/>
  <c r="H37" i="17" s="1"/>
  <c r="G42" i="17"/>
  <c r="H42" i="17" s="1"/>
  <c r="G46" i="17"/>
  <c r="H46" i="17" s="1"/>
  <c r="G50" i="17"/>
  <c r="H50" i="17" s="1"/>
  <c r="G54" i="17"/>
  <c r="H54" i="17" s="1"/>
  <c r="G58" i="17"/>
  <c r="H58" i="17" s="1"/>
  <c r="G60" i="16"/>
  <c r="H18" i="16"/>
  <c r="H60" i="16" s="1"/>
  <c r="E62" i="15"/>
  <c r="F18" i="15"/>
  <c r="G19" i="15"/>
  <c r="H19" i="15" s="1"/>
  <c r="G28" i="15"/>
  <c r="H28" i="15" s="1"/>
  <c r="G36" i="15"/>
  <c r="H36" i="15" s="1"/>
  <c r="G41" i="15"/>
  <c r="H41" i="15" s="1"/>
  <c r="G45" i="15"/>
  <c r="H45" i="15" s="1"/>
  <c r="G49" i="15"/>
  <c r="H49" i="15" s="1"/>
  <c r="G53" i="15"/>
  <c r="H53" i="15" s="1"/>
  <c r="G58" i="15"/>
  <c r="H58" i="15" s="1"/>
  <c r="G26" i="15"/>
  <c r="H26" i="15" s="1"/>
  <c r="G20" i="15"/>
  <c r="H20" i="15" s="1"/>
  <c r="G21" i="15"/>
  <c r="H21" i="15" s="1"/>
  <c r="G29" i="15"/>
  <c r="H29" i="15" s="1"/>
  <c r="G33" i="15"/>
  <c r="H33" i="15" s="1"/>
  <c r="G37" i="15"/>
  <c r="H37" i="15" s="1"/>
  <c r="G42" i="15"/>
  <c r="H42" i="15" s="1"/>
  <c r="G46" i="15"/>
  <c r="H46" i="15" s="1"/>
  <c r="G50" i="15"/>
  <c r="H50" i="15" s="1"/>
  <c r="G54" i="15"/>
  <c r="H54" i="15" s="1"/>
  <c r="G59" i="15"/>
  <c r="H59" i="15" s="1"/>
  <c r="G61" i="15"/>
  <c r="H61" i="15" s="1"/>
  <c r="G22" i="15"/>
  <c r="H22" i="15" s="1"/>
  <c r="G23" i="15"/>
  <c r="H23" i="15" s="1"/>
  <c r="G30" i="15"/>
  <c r="H30" i="15" s="1"/>
  <c r="G34" i="15"/>
  <c r="H34" i="15" s="1"/>
  <c r="G38" i="15"/>
  <c r="H38" i="15" s="1"/>
  <c r="G43" i="15"/>
  <c r="H43" i="15" s="1"/>
  <c r="G47" i="15"/>
  <c r="H47" i="15" s="1"/>
  <c r="G51" i="15"/>
  <c r="H51" i="15" s="1"/>
  <c r="G56" i="15"/>
  <c r="H56" i="15" s="1"/>
  <c r="G60" i="15"/>
  <c r="H60" i="15" s="1"/>
  <c r="G27" i="15"/>
  <c r="H27" i="15" s="1"/>
  <c r="G24" i="15"/>
  <c r="H24" i="15" s="1"/>
  <c r="G25" i="15"/>
  <c r="H25" i="15" s="1"/>
  <c r="G31" i="15"/>
  <c r="H31" i="15" s="1"/>
  <c r="G35" i="15"/>
  <c r="H35" i="15" s="1"/>
  <c r="G40" i="15"/>
  <c r="H40" i="15" s="1"/>
  <c r="G44" i="15"/>
  <c r="H44" i="15" s="1"/>
  <c r="G48" i="15"/>
  <c r="H48" i="15" s="1"/>
  <c r="G52" i="15"/>
  <c r="H52" i="15" s="1"/>
  <c r="G57" i="15"/>
  <c r="H57" i="15" s="1"/>
  <c r="G32" i="15"/>
  <c r="H32" i="15" s="1"/>
  <c r="G26" i="14"/>
  <c r="H26" i="14" s="1"/>
  <c r="G59" i="14"/>
  <c r="H59" i="14"/>
  <c r="G27" i="14"/>
  <c r="H27" i="14" s="1"/>
  <c r="E54" i="14"/>
  <c r="F54" i="14" s="1"/>
  <c r="E53" i="14"/>
  <c r="F53" i="14" s="1"/>
  <c r="E52" i="14"/>
  <c r="F52" i="14" s="1"/>
  <c r="E51" i="14"/>
  <c r="F51" i="14" s="1"/>
  <c r="E50" i="14"/>
  <c r="F50" i="14" s="1"/>
  <c r="E49" i="14"/>
  <c r="F49" i="14" s="1"/>
  <c r="E48" i="14"/>
  <c r="F48" i="14" s="1"/>
  <c r="E47" i="14"/>
  <c r="F47" i="14" s="1"/>
  <c r="E46" i="14"/>
  <c r="F46" i="14" s="1"/>
  <c r="E45" i="14"/>
  <c r="F45" i="14" s="1"/>
  <c r="E44" i="14"/>
  <c r="F44" i="14" s="1"/>
  <c r="E43" i="14"/>
  <c r="F43" i="14" s="1"/>
  <c r="E42" i="14"/>
  <c r="F42" i="14" s="1"/>
  <c r="E41" i="14"/>
  <c r="F41" i="14" s="1"/>
  <c r="E40" i="14"/>
  <c r="F40" i="14" s="1"/>
  <c r="E39" i="14"/>
  <c r="F39" i="14" s="1"/>
  <c r="E38" i="14"/>
  <c r="F38" i="14" s="1"/>
  <c r="E37" i="14"/>
  <c r="F37" i="14" s="1"/>
  <c r="E36" i="14"/>
  <c r="F36" i="14" s="1"/>
  <c r="E35" i="14"/>
  <c r="F35" i="14" s="1"/>
  <c r="E34" i="14"/>
  <c r="F34" i="14" s="1"/>
  <c r="E33" i="14"/>
  <c r="F33" i="14" s="1"/>
  <c r="E32" i="14"/>
  <c r="F32" i="14" s="1"/>
  <c r="E31" i="14"/>
  <c r="F31" i="14" s="1"/>
  <c r="E30" i="14"/>
  <c r="F30" i="14" s="1"/>
  <c r="E29" i="14"/>
  <c r="F29" i="14" s="1"/>
  <c r="E28" i="14"/>
  <c r="F28" i="14" s="1"/>
  <c r="E25" i="14"/>
  <c r="F25" i="14" s="1"/>
  <c r="E23" i="14"/>
  <c r="F23" i="14" s="1"/>
  <c r="E21" i="14"/>
  <c r="F21" i="14" s="1"/>
  <c r="E19" i="14"/>
  <c r="F19" i="14" s="1"/>
  <c r="E57" i="14"/>
  <c r="F57" i="14" s="1"/>
  <c r="E55" i="14"/>
  <c r="F55" i="14" s="1"/>
  <c r="E24" i="14"/>
  <c r="F24" i="14" s="1"/>
  <c r="E22" i="14"/>
  <c r="F22" i="14" s="1"/>
  <c r="E20" i="14"/>
  <c r="F20" i="14" s="1"/>
  <c r="E58" i="14"/>
  <c r="F58" i="14" s="1"/>
  <c r="E56" i="14"/>
  <c r="F56" i="14" s="1"/>
  <c r="E18" i="14"/>
  <c r="E40" i="13"/>
  <c r="F40" i="13" s="1"/>
  <c r="E27" i="13"/>
  <c r="F27" i="13" s="1"/>
  <c r="E58" i="13"/>
  <c r="F58" i="13" s="1"/>
  <c r="E62" i="13"/>
  <c r="F62" i="13" s="1"/>
  <c r="E25" i="13"/>
  <c r="F25" i="13" s="1"/>
  <c r="E24" i="13"/>
  <c r="F24" i="13" s="1"/>
  <c r="E23" i="13"/>
  <c r="F23" i="13" s="1"/>
  <c r="E22" i="13"/>
  <c r="F22" i="13" s="1"/>
  <c r="E21" i="13"/>
  <c r="F21" i="13" s="1"/>
  <c r="E20" i="13"/>
  <c r="F20" i="13" s="1"/>
  <c r="E19" i="13"/>
  <c r="F19" i="13" s="1"/>
  <c r="E18" i="13"/>
  <c r="E57" i="13"/>
  <c r="F57" i="13" s="1"/>
  <c r="E56" i="13"/>
  <c r="F56" i="13" s="1"/>
  <c r="E54" i="13"/>
  <c r="F54" i="13" s="1"/>
  <c r="E52" i="13"/>
  <c r="F52" i="13" s="1"/>
  <c r="E50" i="13"/>
  <c r="F50" i="13" s="1"/>
  <c r="E48" i="13"/>
  <c r="F48" i="13" s="1"/>
  <c r="E46" i="13"/>
  <c r="F46" i="13" s="1"/>
  <c r="E44" i="13"/>
  <c r="F44" i="13" s="1"/>
  <c r="E42" i="13"/>
  <c r="F42" i="13" s="1"/>
  <c r="E39" i="13"/>
  <c r="F39" i="13" s="1"/>
  <c r="E37" i="13"/>
  <c r="F37" i="13" s="1"/>
  <c r="E35" i="13"/>
  <c r="F35" i="13" s="1"/>
  <c r="E33" i="13"/>
  <c r="F33" i="13" s="1"/>
  <c r="E29" i="13"/>
  <c r="F29" i="13" s="1"/>
  <c r="E61" i="13"/>
  <c r="F61" i="13" s="1"/>
  <c r="E60" i="13"/>
  <c r="F60" i="13" s="1"/>
  <c r="E59" i="13"/>
  <c r="F59" i="13" s="1"/>
  <c r="E55" i="13"/>
  <c r="F55" i="13" s="1"/>
  <c r="E53" i="13"/>
  <c r="F53" i="13" s="1"/>
  <c r="E51" i="13"/>
  <c r="F51" i="13" s="1"/>
  <c r="E49" i="13"/>
  <c r="F49" i="13" s="1"/>
  <c r="E47" i="13"/>
  <c r="F47" i="13" s="1"/>
  <c r="E45" i="13"/>
  <c r="F45" i="13" s="1"/>
  <c r="E43" i="13"/>
  <c r="F43" i="13" s="1"/>
  <c r="E41" i="13"/>
  <c r="F41" i="13" s="1"/>
  <c r="E38" i="13"/>
  <c r="F38" i="13" s="1"/>
  <c r="E36" i="13"/>
  <c r="F36" i="13" s="1"/>
  <c r="E34" i="13"/>
  <c r="F34" i="13" s="1"/>
  <c r="E32" i="13"/>
  <c r="F32" i="13" s="1"/>
  <c r="E31" i="13"/>
  <c r="F31" i="13" s="1"/>
  <c r="E30" i="13"/>
  <c r="F30" i="13" s="1"/>
  <c r="E28" i="13"/>
  <c r="F28" i="13" s="1"/>
  <c r="F16" i="11"/>
  <c r="F16" i="12"/>
  <c r="D62" i="12"/>
  <c r="E57" i="12"/>
  <c r="D60" i="11"/>
  <c r="F19" i="10"/>
  <c r="D64" i="10"/>
  <c r="E28" i="10" s="1"/>
  <c r="D63" i="9"/>
  <c r="F37" i="9" s="1"/>
  <c r="F54" i="9"/>
  <c r="F50" i="9"/>
  <c r="F46" i="9"/>
  <c r="F42" i="9"/>
  <c r="F38" i="9"/>
  <c r="F33" i="9"/>
  <c r="F26" i="9"/>
  <c r="F27" i="9"/>
  <c r="F61" i="9"/>
  <c r="F62" i="9"/>
  <c r="F3" i="4"/>
  <c r="G61" i="21" l="1"/>
  <c r="F61" i="21"/>
  <c r="H31" i="21"/>
  <c r="H28" i="21"/>
  <c r="H17" i="21"/>
  <c r="H61" i="21" s="1"/>
  <c r="G67" i="20"/>
  <c r="F65" i="19"/>
  <c r="G65" i="19"/>
  <c r="I61" i="18"/>
  <c r="H61" i="18"/>
  <c r="F62" i="17"/>
  <c r="G18" i="17"/>
  <c r="G62" i="17" s="1"/>
  <c r="F62" i="15"/>
  <c r="G18" i="15"/>
  <c r="G62" i="15" s="1"/>
  <c r="G20" i="14"/>
  <c r="H20" i="14" s="1"/>
  <c r="G57" i="14"/>
  <c r="H57" i="14" s="1"/>
  <c r="G25" i="14"/>
  <c r="H25" i="14" s="1"/>
  <c r="G31" i="14"/>
  <c r="H31" i="14" s="1"/>
  <c r="G39" i="14"/>
  <c r="H39" i="14" s="1"/>
  <c r="G43" i="14"/>
  <c r="H43" i="14" s="1"/>
  <c r="G47" i="14"/>
  <c r="H47" i="14" s="1"/>
  <c r="G51" i="14"/>
  <c r="H51" i="14" s="1"/>
  <c r="E60" i="14"/>
  <c r="F18" i="14"/>
  <c r="G22" i="14"/>
  <c r="H22" i="14" s="1"/>
  <c r="G19" i="14"/>
  <c r="H19" i="14" s="1"/>
  <c r="G28" i="14"/>
  <c r="H28" i="14" s="1"/>
  <c r="G32" i="14"/>
  <c r="H32" i="14" s="1"/>
  <c r="G36" i="14"/>
  <c r="H36" i="14" s="1"/>
  <c r="G40" i="14"/>
  <c r="H40" i="14" s="1"/>
  <c r="G44" i="14"/>
  <c r="H44" i="14" s="1"/>
  <c r="G48" i="14"/>
  <c r="H48" i="14" s="1"/>
  <c r="G52" i="14"/>
  <c r="H52" i="14" s="1"/>
  <c r="G56" i="14"/>
  <c r="H56" i="14" s="1"/>
  <c r="G24" i="14"/>
  <c r="H24" i="14" s="1"/>
  <c r="G21" i="14"/>
  <c r="H21" i="14" s="1"/>
  <c r="G29" i="14"/>
  <c r="H29" i="14" s="1"/>
  <c r="G33" i="14"/>
  <c r="H33" i="14" s="1"/>
  <c r="G37" i="14"/>
  <c r="H37" i="14" s="1"/>
  <c r="G41" i="14"/>
  <c r="H41" i="14" s="1"/>
  <c r="G45" i="14"/>
  <c r="H45" i="14" s="1"/>
  <c r="G49" i="14"/>
  <c r="H49" i="14" s="1"/>
  <c r="G53" i="14"/>
  <c r="H53" i="14" s="1"/>
  <c r="G58" i="14"/>
  <c r="H58" i="14" s="1"/>
  <c r="G55" i="14"/>
  <c r="H55" i="14" s="1"/>
  <c r="G23" i="14"/>
  <c r="H23" i="14" s="1"/>
  <c r="G30" i="14"/>
  <c r="H30" i="14" s="1"/>
  <c r="G34" i="14"/>
  <c r="H34" i="14" s="1"/>
  <c r="G38" i="14"/>
  <c r="H38" i="14" s="1"/>
  <c r="G42" i="14"/>
  <c r="H42" i="14" s="1"/>
  <c r="G46" i="14"/>
  <c r="H46" i="14" s="1"/>
  <c r="G50" i="14"/>
  <c r="H50" i="14" s="1"/>
  <c r="G54" i="14"/>
  <c r="H54" i="14" s="1"/>
  <c r="G35" i="14"/>
  <c r="H35" i="14" s="1"/>
  <c r="E63" i="13"/>
  <c r="G40" i="13"/>
  <c r="H40" i="13" s="1"/>
  <c r="G59" i="13"/>
  <c r="H59" i="13" s="1"/>
  <c r="G33" i="13"/>
  <c r="H33" i="13" s="1"/>
  <c r="G42" i="13"/>
  <c r="H42" i="13" s="1"/>
  <c r="G50" i="13"/>
  <c r="H50" i="13" s="1"/>
  <c r="G25" i="13"/>
  <c r="H25" i="13" s="1"/>
  <c r="G34" i="13"/>
  <c r="H34" i="13" s="1"/>
  <c r="G43" i="13"/>
  <c r="H43" i="13" s="1"/>
  <c r="G51" i="13"/>
  <c r="H51" i="13" s="1"/>
  <c r="G60" i="13"/>
  <c r="H60" i="13" s="1"/>
  <c r="G35" i="13"/>
  <c r="H35" i="13" s="1"/>
  <c r="G44" i="13"/>
  <c r="H44" i="13" s="1"/>
  <c r="G52" i="13"/>
  <c r="H52" i="13" s="1"/>
  <c r="G21" i="13"/>
  <c r="H21" i="13" s="1"/>
  <c r="G32" i="13"/>
  <c r="H32" i="13" s="1"/>
  <c r="G41" i="13"/>
  <c r="H41" i="13" s="1"/>
  <c r="G49" i="13"/>
  <c r="H49" i="13" s="1"/>
  <c r="G57" i="13"/>
  <c r="H57" i="13" s="1"/>
  <c r="G62" i="13"/>
  <c r="H62" i="13" s="1"/>
  <c r="G46" i="13"/>
  <c r="H46" i="13" s="1"/>
  <c r="G54" i="13"/>
  <c r="H54" i="13" s="1"/>
  <c r="G22" i="13"/>
  <c r="H22" i="13" s="1"/>
  <c r="G26" i="13"/>
  <c r="H26" i="13" s="1"/>
  <c r="G55" i="13"/>
  <c r="H55" i="13" s="1"/>
  <c r="G19" i="13"/>
  <c r="H19" i="13" s="1"/>
  <c r="G23" i="13"/>
  <c r="H23" i="13" s="1"/>
  <c r="G28" i="13"/>
  <c r="H28" i="13" s="1"/>
  <c r="G36" i="13"/>
  <c r="H36" i="13" s="1"/>
  <c r="G45" i="13"/>
  <c r="H45" i="13" s="1"/>
  <c r="G53" i="13"/>
  <c r="H53" i="13" s="1"/>
  <c r="G61" i="13"/>
  <c r="H61" i="13" s="1"/>
  <c r="G29" i="13"/>
  <c r="H29" i="13" s="1"/>
  <c r="G37" i="13"/>
  <c r="H37" i="13" s="1"/>
  <c r="G58" i="13"/>
  <c r="H58" i="13" s="1"/>
  <c r="F18" i="13"/>
  <c r="F63" i="13" s="1"/>
  <c r="G30" i="13"/>
  <c r="H30" i="13" s="1"/>
  <c r="G38" i="13"/>
  <c r="H38" i="13" s="1"/>
  <c r="G47" i="13"/>
  <c r="H47" i="13" s="1"/>
  <c r="G27" i="13"/>
  <c r="H27" i="13" s="1"/>
  <c r="G31" i="13"/>
  <c r="H31" i="13" s="1"/>
  <c r="G39" i="13"/>
  <c r="G48" i="13"/>
  <c r="H48" i="13" s="1"/>
  <c r="G56" i="13"/>
  <c r="H56" i="13" s="1"/>
  <c r="G20" i="13"/>
  <c r="H20" i="13" s="1"/>
  <c r="G24" i="13"/>
  <c r="H24" i="13" s="1"/>
  <c r="E61" i="12"/>
  <c r="E25" i="12"/>
  <c r="F25" i="12" s="1"/>
  <c r="E24" i="12"/>
  <c r="F24" i="12" s="1"/>
  <c r="E23" i="12"/>
  <c r="F23" i="12" s="1"/>
  <c r="E22" i="12"/>
  <c r="E21" i="12"/>
  <c r="E20" i="12"/>
  <c r="E19" i="12"/>
  <c r="F19" i="12" s="1"/>
  <c r="E18" i="12"/>
  <c r="E55" i="12"/>
  <c r="F55" i="12" s="1"/>
  <c r="E53" i="12"/>
  <c r="F53" i="12" s="1"/>
  <c r="E51" i="12"/>
  <c r="F51" i="12" s="1"/>
  <c r="E49" i="12"/>
  <c r="E47" i="12"/>
  <c r="F47" i="12" s="1"/>
  <c r="E45" i="12"/>
  <c r="F45" i="12" s="1"/>
  <c r="E44" i="12"/>
  <c r="F44" i="12" s="1"/>
  <c r="E42" i="12"/>
  <c r="E40" i="12"/>
  <c r="E38" i="12"/>
  <c r="F38" i="12" s="1"/>
  <c r="E36" i="12"/>
  <c r="E34" i="12"/>
  <c r="E32" i="12"/>
  <c r="E30" i="12"/>
  <c r="F30" i="12" s="1"/>
  <c r="E28" i="12"/>
  <c r="F28" i="12" s="1"/>
  <c r="E60" i="12"/>
  <c r="E59" i="12"/>
  <c r="E58" i="12"/>
  <c r="F58" i="12" s="1"/>
  <c r="E56" i="12"/>
  <c r="F56" i="12" s="1"/>
  <c r="E54" i="12"/>
  <c r="E52" i="12"/>
  <c r="E50" i="12"/>
  <c r="F50" i="12" s="1"/>
  <c r="E48" i="12"/>
  <c r="E46" i="12"/>
  <c r="E43" i="12"/>
  <c r="F43" i="12" s="1"/>
  <c r="E41" i="12"/>
  <c r="F41" i="12" s="1"/>
  <c r="E39" i="12"/>
  <c r="F39" i="12" s="1"/>
  <c r="E37" i="12"/>
  <c r="E35" i="12"/>
  <c r="F35" i="12" s="1"/>
  <c r="E33" i="12"/>
  <c r="F33" i="12" s="1"/>
  <c r="E31" i="12"/>
  <c r="F31" i="12" s="1"/>
  <c r="E29" i="12"/>
  <c r="E26" i="12"/>
  <c r="F60" i="12"/>
  <c r="F59" i="12"/>
  <c r="F57" i="12"/>
  <c r="F26" i="12"/>
  <c r="F54" i="12"/>
  <c r="F52" i="12"/>
  <c r="F49" i="12"/>
  <c r="F48" i="12"/>
  <c r="F46" i="12"/>
  <c r="F42" i="12"/>
  <c r="F40" i="12"/>
  <c r="F37" i="12"/>
  <c r="F36" i="12"/>
  <c r="F34" i="12"/>
  <c r="F32" i="12"/>
  <c r="F29" i="12"/>
  <c r="F61" i="12"/>
  <c r="F22" i="12"/>
  <c r="F18" i="12"/>
  <c r="F21" i="12"/>
  <c r="F20" i="12"/>
  <c r="E27" i="12"/>
  <c r="F27" i="12" s="1"/>
  <c r="E54" i="11"/>
  <c r="F54" i="11" s="1"/>
  <c r="E53" i="11"/>
  <c r="F53" i="11" s="1"/>
  <c r="E52" i="11"/>
  <c r="F52" i="11" s="1"/>
  <c r="E51" i="11"/>
  <c r="F51" i="11" s="1"/>
  <c r="E50" i="11"/>
  <c r="F50" i="11" s="1"/>
  <c r="E49" i="11"/>
  <c r="F49" i="11" s="1"/>
  <c r="E48" i="11"/>
  <c r="F48" i="11" s="1"/>
  <c r="E47" i="11"/>
  <c r="F47" i="11" s="1"/>
  <c r="E46" i="11"/>
  <c r="F46" i="11" s="1"/>
  <c r="E45" i="11"/>
  <c r="F45" i="11" s="1"/>
  <c r="E44" i="11"/>
  <c r="F44" i="11" s="1"/>
  <c r="E43" i="11"/>
  <c r="F43" i="11" s="1"/>
  <c r="E42" i="11"/>
  <c r="F42" i="11" s="1"/>
  <c r="E41" i="11"/>
  <c r="F41" i="11" s="1"/>
  <c r="E40" i="11"/>
  <c r="F40" i="11" s="1"/>
  <c r="E39" i="11"/>
  <c r="F39" i="11" s="1"/>
  <c r="E38" i="11"/>
  <c r="F38" i="11" s="1"/>
  <c r="E37" i="11"/>
  <c r="F37" i="11" s="1"/>
  <c r="E36" i="11"/>
  <c r="F36" i="11" s="1"/>
  <c r="E35" i="11"/>
  <c r="F35" i="11" s="1"/>
  <c r="E34" i="11"/>
  <c r="F34" i="11" s="1"/>
  <c r="E33" i="11"/>
  <c r="F33" i="11" s="1"/>
  <c r="E32" i="11"/>
  <c r="F32" i="11" s="1"/>
  <c r="E31" i="11"/>
  <c r="F31" i="11" s="1"/>
  <c r="E30" i="11"/>
  <c r="F30" i="11" s="1"/>
  <c r="E29" i="11"/>
  <c r="F29" i="11" s="1"/>
  <c r="E28" i="11"/>
  <c r="F28" i="11" s="1"/>
  <c r="E27" i="11"/>
  <c r="F27" i="11" s="1"/>
  <c r="E24" i="11"/>
  <c r="F24" i="11" s="1"/>
  <c r="E22" i="11"/>
  <c r="F22" i="11" s="1"/>
  <c r="E20" i="11"/>
  <c r="F20" i="11" s="1"/>
  <c r="E18" i="11"/>
  <c r="E55" i="11"/>
  <c r="F55" i="11" s="1"/>
  <c r="E25" i="11"/>
  <c r="F25" i="11" s="1"/>
  <c r="E23" i="11"/>
  <c r="F23" i="11" s="1"/>
  <c r="E21" i="11"/>
  <c r="F21" i="11" s="1"/>
  <c r="E19" i="11"/>
  <c r="F19" i="11" s="1"/>
  <c r="E58" i="11"/>
  <c r="F58" i="11" s="1"/>
  <c r="E57" i="11"/>
  <c r="F57" i="11" s="1"/>
  <c r="E56" i="11"/>
  <c r="F56" i="11" s="1"/>
  <c r="E26" i="11"/>
  <c r="F26" i="11" s="1"/>
  <c r="E59" i="11"/>
  <c r="F59" i="11" s="1"/>
  <c r="F28" i="10"/>
  <c r="G28" i="10" s="1"/>
  <c r="H28" i="10" s="1"/>
  <c r="E38" i="10"/>
  <c r="F38" i="10" s="1"/>
  <c r="G38" i="10" s="1"/>
  <c r="H38" i="10" s="1"/>
  <c r="E47" i="10"/>
  <c r="F47" i="10" s="1"/>
  <c r="E55" i="10"/>
  <c r="F55" i="10" s="1"/>
  <c r="G55" i="10" s="1"/>
  <c r="H55" i="10" s="1"/>
  <c r="E61" i="10"/>
  <c r="F61" i="10" s="1"/>
  <c r="G61" i="10" s="1"/>
  <c r="H61" i="10" s="1"/>
  <c r="E35" i="10"/>
  <c r="F35" i="10" s="1"/>
  <c r="E43" i="10"/>
  <c r="F43" i="10" s="1"/>
  <c r="G43" i="10" s="1"/>
  <c r="H43" i="10" s="1"/>
  <c r="E50" i="10"/>
  <c r="F50" i="10" s="1"/>
  <c r="G50" i="10" s="1"/>
  <c r="E21" i="10"/>
  <c r="F21" i="10" s="1"/>
  <c r="E25" i="10"/>
  <c r="F25" i="10" s="1"/>
  <c r="G25" i="10" s="1"/>
  <c r="E63" i="10"/>
  <c r="F63" i="10" s="1"/>
  <c r="E32" i="10"/>
  <c r="F32" i="10" s="1"/>
  <c r="E40" i="10"/>
  <c r="F40" i="10" s="1"/>
  <c r="G40" i="10" s="1"/>
  <c r="H40" i="10" s="1"/>
  <c r="E49" i="10"/>
  <c r="F49" i="10" s="1"/>
  <c r="E57" i="10"/>
  <c r="F57" i="10" s="1"/>
  <c r="G57" i="10" s="1"/>
  <c r="H57" i="10" s="1"/>
  <c r="E62" i="10"/>
  <c r="F62" i="10" s="1"/>
  <c r="G62" i="10" s="1"/>
  <c r="H62" i="10" s="1"/>
  <c r="E37" i="10"/>
  <c r="F37" i="10" s="1"/>
  <c r="G37" i="10" s="1"/>
  <c r="H37" i="10" s="1"/>
  <c r="E44" i="10"/>
  <c r="F44" i="10" s="1"/>
  <c r="E52" i="10"/>
  <c r="F52" i="10" s="1"/>
  <c r="E22" i="10"/>
  <c r="F22" i="10" s="1"/>
  <c r="G22" i="10" s="1"/>
  <c r="H22" i="10" s="1"/>
  <c r="E26" i="10"/>
  <c r="F26" i="10" s="1"/>
  <c r="G26" i="10" s="1"/>
  <c r="H26" i="10" s="1"/>
  <c r="E59" i="10"/>
  <c r="F59" i="10" s="1"/>
  <c r="G59" i="10" s="1"/>
  <c r="H59" i="10" s="1"/>
  <c r="E29" i="10"/>
  <c r="F29" i="10" s="1"/>
  <c r="G29" i="10" s="1"/>
  <c r="H29" i="10" s="1"/>
  <c r="E34" i="10"/>
  <c r="F34" i="10" s="1"/>
  <c r="G34" i="10" s="1"/>
  <c r="E42" i="10"/>
  <c r="F42" i="10" s="1"/>
  <c r="G42" i="10" s="1"/>
  <c r="H42" i="10" s="1"/>
  <c r="E51" i="10"/>
  <c r="F51" i="10" s="1"/>
  <c r="E58" i="10"/>
  <c r="F58" i="10" s="1"/>
  <c r="G58" i="10" s="1"/>
  <c r="H58" i="10" s="1"/>
  <c r="E31" i="10"/>
  <c r="F31" i="10" s="1"/>
  <c r="G31" i="10" s="1"/>
  <c r="H31" i="10" s="1"/>
  <c r="E39" i="10"/>
  <c r="F39" i="10" s="1"/>
  <c r="G39" i="10" s="1"/>
  <c r="E46" i="10"/>
  <c r="F46" i="10" s="1"/>
  <c r="E54" i="10"/>
  <c r="F54" i="10" s="1"/>
  <c r="E23" i="10"/>
  <c r="F23" i="10" s="1"/>
  <c r="G23" i="10" s="1"/>
  <c r="H23" i="10" s="1"/>
  <c r="E27" i="10"/>
  <c r="F27" i="10" s="1"/>
  <c r="G27" i="10" s="1"/>
  <c r="H27" i="10" s="1"/>
  <c r="E30" i="10"/>
  <c r="F30" i="10" s="1"/>
  <c r="G30" i="10" s="1"/>
  <c r="H30" i="10" s="1"/>
  <c r="E36" i="10"/>
  <c r="F36" i="10" s="1"/>
  <c r="E45" i="10"/>
  <c r="F45" i="10" s="1"/>
  <c r="G45" i="10" s="1"/>
  <c r="H45" i="10" s="1"/>
  <c r="E53" i="10"/>
  <c r="F53" i="10" s="1"/>
  <c r="G53" i="10" s="1"/>
  <c r="E60" i="10"/>
  <c r="F60" i="10" s="1"/>
  <c r="E33" i="10"/>
  <c r="F33" i="10" s="1"/>
  <c r="G33" i="10" s="1"/>
  <c r="H33" i="10" s="1"/>
  <c r="E41" i="10"/>
  <c r="F41" i="10" s="1"/>
  <c r="E48" i="10"/>
  <c r="F48" i="10" s="1"/>
  <c r="G48" i="10" s="1"/>
  <c r="E56" i="10"/>
  <c r="F56" i="10" s="1"/>
  <c r="E24" i="10"/>
  <c r="F24" i="10" s="1"/>
  <c r="G24" i="10" s="1"/>
  <c r="H24" i="10" s="1"/>
  <c r="G36" i="10"/>
  <c r="H36" i="10" s="1"/>
  <c r="G60" i="10"/>
  <c r="H60" i="10" s="1"/>
  <c r="G41" i="10"/>
  <c r="H41" i="10" s="1"/>
  <c r="G56" i="10"/>
  <c r="H56" i="10" s="1"/>
  <c r="G47" i="10"/>
  <c r="G35" i="10"/>
  <c r="H35" i="10" s="1"/>
  <c r="G63" i="10"/>
  <c r="G51" i="10"/>
  <c r="G49" i="10"/>
  <c r="H49" i="10" s="1"/>
  <c r="G46" i="10"/>
  <c r="H46" i="10" s="1"/>
  <c r="G54" i="10"/>
  <c r="H54" i="10" s="1"/>
  <c r="G44" i="10"/>
  <c r="H44" i="10" s="1"/>
  <c r="G52" i="10"/>
  <c r="H52" i="10" s="1"/>
  <c r="G37" i="9"/>
  <c r="H37" i="9" s="1"/>
  <c r="F58" i="9"/>
  <c r="G58" i="9" s="1"/>
  <c r="H58" i="9" s="1"/>
  <c r="F21" i="9"/>
  <c r="E20" i="9"/>
  <c r="E63" i="9" s="1"/>
  <c r="F30" i="9"/>
  <c r="G30" i="9" s="1"/>
  <c r="H30" i="9" s="1"/>
  <c r="F34" i="9"/>
  <c r="F39" i="9"/>
  <c r="F43" i="9"/>
  <c r="G43" i="9" s="1"/>
  <c r="H43" i="9" s="1"/>
  <c r="F47" i="9"/>
  <c r="G47" i="9" s="1"/>
  <c r="H47" i="9" s="1"/>
  <c r="F51" i="9"/>
  <c r="G51" i="9" s="1"/>
  <c r="H51" i="9" s="1"/>
  <c r="F55" i="9"/>
  <c r="G55" i="9" s="1"/>
  <c r="H55" i="9" s="1"/>
  <c r="F28" i="9"/>
  <c r="G28" i="9" s="1"/>
  <c r="H28" i="9" s="1"/>
  <c r="F59" i="9"/>
  <c r="G59" i="9" s="1"/>
  <c r="H59" i="9" s="1"/>
  <c r="F23" i="9"/>
  <c r="F22" i="9"/>
  <c r="F31" i="9"/>
  <c r="F35" i="9"/>
  <c r="F40" i="9"/>
  <c r="F44" i="9"/>
  <c r="G44" i="9" s="1"/>
  <c r="H44" i="9" s="1"/>
  <c r="F48" i="9"/>
  <c r="G48" i="9" s="1"/>
  <c r="H48" i="9" s="1"/>
  <c r="F52" i="9"/>
  <c r="G52" i="9" s="1"/>
  <c r="H52" i="9" s="1"/>
  <c r="F56" i="9"/>
  <c r="F29" i="9"/>
  <c r="G29" i="9" s="1"/>
  <c r="H29" i="9" s="1"/>
  <c r="F60" i="9"/>
  <c r="G60" i="9" s="1"/>
  <c r="H60" i="9" s="1"/>
  <c r="F25" i="9"/>
  <c r="G25" i="9" s="1"/>
  <c r="H25" i="9" s="1"/>
  <c r="F24" i="9"/>
  <c r="F32" i="9"/>
  <c r="F36" i="9"/>
  <c r="G36" i="9" s="1"/>
  <c r="H36" i="9" s="1"/>
  <c r="F41" i="9"/>
  <c r="G41" i="9" s="1"/>
  <c r="H41" i="9" s="1"/>
  <c r="F45" i="9"/>
  <c r="F49" i="9"/>
  <c r="G49" i="9" s="1"/>
  <c r="H49" i="9" s="1"/>
  <c r="F53" i="9"/>
  <c r="F57" i="9"/>
  <c r="G57" i="9" s="1"/>
  <c r="H57" i="9" s="1"/>
  <c r="G22" i="9"/>
  <c r="H22" i="9"/>
  <c r="G35" i="9"/>
  <c r="H35" i="9" s="1"/>
  <c r="G32" i="9"/>
  <c r="H32" i="9" s="1"/>
  <c r="G45" i="9"/>
  <c r="H45" i="9" s="1"/>
  <c r="G62" i="9"/>
  <c r="H62" i="9" s="1"/>
  <c r="G61" i="9"/>
  <c r="H61" i="9" s="1"/>
  <c r="G27" i="9"/>
  <c r="H27" i="9" s="1"/>
  <c r="G26" i="9"/>
  <c r="H26" i="9" s="1"/>
  <c r="G33" i="9"/>
  <c r="H33" i="9" s="1"/>
  <c r="G38" i="9"/>
  <c r="H38" i="9" s="1"/>
  <c r="G42" i="9"/>
  <c r="H42" i="9" s="1"/>
  <c r="G46" i="9"/>
  <c r="H46" i="9" s="1"/>
  <c r="G50" i="9"/>
  <c r="H50" i="9" s="1"/>
  <c r="G54" i="9"/>
  <c r="H54" i="9" s="1"/>
  <c r="G39" i="9"/>
  <c r="H39" i="9"/>
  <c r="G23" i="9"/>
  <c r="H23" i="9" s="1"/>
  <c r="G34" i="9"/>
  <c r="H34" i="9"/>
  <c r="G31" i="9"/>
  <c r="H31" i="9" s="1"/>
  <c r="G40" i="9"/>
  <c r="H40" i="9" s="1"/>
  <c r="G56" i="9"/>
  <c r="H56" i="9" s="1"/>
  <c r="F20" i="9"/>
  <c r="G24" i="9"/>
  <c r="H24" i="9" s="1"/>
  <c r="G53" i="9"/>
  <c r="H53" i="9" s="1"/>
  <c r="F17" i="7"/>
  <c r="F13" i="7"/>
  <c r="F5" i="7"/>
  <c r="F6" i="7"/>
  <c r="D28" i="8"/>
  <c r="D29" i="8"/>
  <c r="D63" i="8"/>
  <c r="D59" i="8"/>
  <c r="D61" i="7"/>
  <c r="H22" i="19" l="1"/>
  <c r="H65" i="19" s="1"/>
  <c r="H18" i="17"/>
  <c r="H62" i="17" s="1"/>
  <c r="H18" i="15"/>
  <c r="H62" i="15" s="1"/>
  <c r="F60" i="14"/>
  <c r="G18" i="14"/>
  <c r="G60" i="14" s="1"/>
  <c r="H39" i="13"/>
  <c r="G18" i="13"/>
  <c r="G63" i="13" s="1"/>
  <c r="G50" i="12"/>
  <c r="H50" i="12"/>
  <c r="G58" i="12"/>
  <c r="H58" i="12" s="1"/>
  <c r="G30" i="12"/>
  <c r="H30" i="12" s="1"/>
  <c r="G38" i="12"/>
  <c r="H38" i="12" s="1"/>
  <c r="G35" i="12"/>
  <c r="H35" i="12"/>
  <c r="G43" i="12"/>
  <c r="H43" i="12" s="1"/>
  <c r="G47" i="12"/>
  <c r="H47" i="12"/>
  <c r="G55" i="12"/>
  <c r="H55" i="12" s="1"/>
  <c r="G25" i="12"/>
  <c r="H25" i="12" s="1"/>
  <c r="G27" i="12"/>
  <c r="H27" i="12"/>
  <c r="G31" i="12"/>
  <c r="H31" i="12" s="1"/>
  <c r="G39" i="12"/>
  <c r="H39" i="12"/>
  <c r="G51" i="12"/>
  <c r="H51" i="12" s="1"/>
  <c r="G19" i="12"/>
  <c r="H19" i="12" s="1"/>
  <c r="G23" i="12"/>
  <c r="H23" i="12" s="1"/>
  <c r="G20" i="12"/>
  <c r="H20" i="12" s="1"/>
  <c r="G18" i="12"/>
  <c r="H18" i="12"/>
  <c r="F62" i="12"/>
  <c r="G28" i="12"/>
  <c r="H28" i="12"/>
  <c r="G32" i="12"/>
  <c r="H32" i="12" s="1"/>
  <c r="G36" i="12"/>
  <c r="H36" i="12" s="1"/>
  <c r="G40" i="12"/>
  <c r="H40" i="12" s="1"/>
  <c r="G44" i="12"/>
  <c r="H44" i="12" s="1"/>
  <c r="G48" i="12"/>
  <c r="H48" i="12" s="1"/>
  <c r="G52" i="12"/>
  <c r="H52" i="12"/>
  <c r="G56" i="12"/>
  <c r="H56" i="12" s="1"/>
  <c r="G59" i="12"/>
  <c r="H59" i="12" s="1"/>
  <c r="G24" i="12"/>
  <c r="H24" i="12" s="1"/>
  <c r="G22" i="12"/>
  <c r="H22" i="12" s="1"/>
  <c r="G29" i="12"/>
  <c r="H29" i="12" s="1"/>
  <c r="G33" i="12"/>
  <c r="H33" i="12" s="1"/>
  <c r="G37" i="12"/>
  <c r="H37" i="12" s="1"/>
  <c r="G41" i="12"/>
  <c r="H41" i="12"/>
  <c r="G45" i="12"/>
  <c r="H45" i="12" s="1"/>
  <c r="G49" i="12"/>
  <c r="H49" i="12"/>
  <c r="G53" i="12"/>
  <c r="H53" i="12" s="1"/>
  <c r="G26" i="12"/>
  <c r="H26" i="12" s="1"/>
  <c r="G60" i="12"/>
  <c r="H60" i="12" s="1"/>
  <c r="G21" i="12"/>
  <c r="H21" i="12" s="1"/>
  <c r="G61" i="12"/>
  <c r="H61" i="12" s="1"/>
  <c r="G34" i="12"/>
  <c r="H34" i="12" s="1"/>
  <c r="G42" i="12"/>
  <c r="H42" i="12" s="1"/>
  <c r="G46" i="12"/>
  <c r="H46" i="12" s="1"/>
  <c r="G54" i="12"/>
  <c r="H54" i="12" s="1"/>
  <c r="G57" i="12"/>
  <c r="H57" i="12" s="1"/>
  <c r="E62" i="12"/>
  <c r="G19" i="11"/>
  <c r="H19" i="11" s="1"/>
  <c r="G24" i="11"/>
  <c r="H24" i="11" s="1"/>
  <c r="G34" i="11"/>
  <c r="H34" i="11" s="1"/>
  <c r="G42" i="11"/>
  <c r="H42" i="11" s="1"/>
  <c r="G46" i="11"/>
  <c r="H46" i="11" s="1"/>
  <c r="G54" i="11"/>
  <c r="H54" i="11" s="1"/>
  <c r="G56" i="11"/>
  <c r="H56" i="11" s="1"/>
  <c r="G21" i="11"/>
  <c r="H21" i="11" s="1"/>
  <c r="E60" i="11"/>
  <c r="F18" i="11"/>
  <c r="G27" i="11"/>
  <c r="H27" i="11" s="1"/>
  <c r="G31" i="11"/>
  <c r="H31" i="11" s="1"/>
  <c r="G35" i="11"/>
  <c r="H35" i="11" s="1"/>
  <c r="G39" i="11"/>
  <c r="H39" i="11" s="1"/>
  <c r="G43" i="11"/>
  <c r="H43" i="11" s="1"/>
  <c r="G47" i="11"/>
  <c r="H47" i="11" s="1"/>
  <c r="G51" i="11"/>
  <c r="H51" i="11" s="1"/>
  <c r="G57" i="11"/>
  <c r="H57" i="11" s="1"/>
  <c r="G23" i="11"/>
  <c r="H23" i="11" s="1"/>
  <c r="G20" i="11"/>
  <c r="H20" i="11" s="1"/>
  <c r="G28" i="11"/>
  <c r="H28" i="11" s="1"/>
  <c r="G32" i="11"/>
  <c r="H32" i="11" s="1"/>
  <c r="G36" i="11"/>
  <c r="H36" i="11" s="1"/>
  <c r="G40" i="11"/>
  <c r="H40" i="11" s="1"/>
  <c r="G44" i="11"/>
  <c r="H44" i="11" s="1"/>
  <c r="G48" i="11"/>
  <c r="H48" i="11" s="1"/>
  <c r="G52" i="11"/>
  <c r="H52" i="11" s="1"/>
  <c r="G26" i="11"/>
  <c r="H26" i="11" s="1"/>
  <c r="G55" i="11"/>
  <c r="H55" i="11" s="1"/>
  <c r="G30" i="11"/>
  <c r="H30" i="11" s="1"/>
  <c r="G38" i="11"/>
  <c r="H38" i="11" s="1"/>
  <c r="G50" i="11"/>
  <c r="H50" i="11" s="1"/>
  <c r="G59" i="11"/>
  <c r="H59" i="11" s="1"/>
  <c r="G58" i="11"/>
  <c r="H58" i="11" s="1"/>
  <c r="G25" i="11"/>
  <c r="H25" i="11" s="1"/>
  <c r="G22" i="11"/>
  <c r="H22" i="11" s="1"/>
  <c r="G29" i="11"/>
  <c r="H29" i="11" s="1"/>
  <c r="G33" i="11"/>
  <c r="H33" i="11" s="1"/>
  <c r="G37" i="11"/>
  <c r="H37" i="11" s="1"/>
  <c r="G41" i="11"/>
  <c r="H41" i="11" s="1"/>
  <c r="G45" i="11"/>
  <c r="H45" i="11" s="1"/>
  <c r="G49" i="11"/>
  <c r="H49" i="11" s="1"/>
  <c r="G53" i="11"/>
  <c r="H53" i="11" s="1"/>
  <c r="H63" i="10"/>
  <c r="H47" i="10"/>
  <c r="H34" i="10"/>
  <c r="H50" i="10"/>
  <c r="G32" i="10"/>
  <c r="H32" i="10" s="1"/>
  <c r="H51" i="10"/>
  <c r="H25" i="10"/>
  <c r="E64" i="10"/>
  <c r="H39" i="10"/>
  <c r="H48" i="10"/>
  <c r="H53" i="10"/>
  <c r="G21" i="10"/>
  <c r="F64" i="10"/>
  <c r="G21" i="9"/>
  <c r="H21" i="9" s="1"/>
  <c r="F63" i="9"/>
  <c r="G20" i="9"/>
  <c r="D64" i="8"/>
  <c r="H18" i="14" l="1"/>
  <c r="H60" i="14" s="1"/>
  <c r="H18" i="13"/>
  <c r="H63" i="13" s="1"/>
  <c r="H62" i="12"/>
  <c r="G62" i="12"/>
  <c r="F60" i="11"/>
  <c r="G18" i="11"/>
  <c r="G60" i="11" s="1"/>
  <c r="G64" i="10"/>
  <c r="H21" i="10"/>
  <c r="H64" i="10" s="1"/>
  <c r="G63" i="9"/>
  <c r="H20" i="9"/>
  <c r="H63" i="9" s="1"/>
  <c r="E22" i="8"/>
  <c r="F22" i="8" s="1"/>
  <c r="E26" i="8"/>
  <c r="F26" i="8" s="1"/>
  <c r="G26" i="8" s="1"/>
  <c r="H26" i="8" s="1"/>
  <c r="E30" i="8"/>
  <c r="F30" i="8" s="1"/>
  <c r="E34" i="8"/>
  <c r="F34" i="8" s="1"/>
  <c r="G34" i="8" s="1"/>
  <c r="H34" i="8" s="1"/>
  <c r="E38" i="8"/>
  <c r="F38" i="8" s="1"/>
  <c r="E42" i="8"/>
  <c r="F42" i="8" s="1"/>
  <c r="E46" i="8"/>
  <c r="F46" i="8" s="1"/>
  <c r="E50" i="8"/>
  <c r="F50" i="8" s="1"/>
  <c r="G50" i="8" s="1"/>
  <c r="H50" i="8" s="1"/>
  <c r="E54" i="8"/>
  <c r="F54" i="8" s="1"/>
  <c r="E58" i="8"/>
  <c r="F58" i="8" s="1"/>
  <c r="E62" i="8"/>
  <c r="F62" i="8" s="1"/>
  <c r="E37" i="8"/>
  <c r="F37" i="8" s="1"/>
  <c r="G37" i="8" s="1"/>
  <c r="H37" i="8" s="1"/>
  <c r="E49" i="8"/>
  <c r="F49" i="8" s="1"/>
  <c r="E57" i="8"/>
  <c r="F57" i="8" s="1"/>
  <c r="E23" i="8"/>
  <c r="F23" i="8" s="1"/>
  <c r="E27" i="8"/>
  <c r="F27" i="8" s="1"/>
  <c r="G27" i="8" s="1"/>
  <c r="H27" i="8" s="1"/>
  <c r="E31" i="8"/>
  <c r="F31" i="8" s="1"/>
  <c r="E35" i="8"/>
  <c r="F35" i="8" s="1"/>
  <c r="E39" i="8"/>
  <c r="F39" i="8" s="1"/>
  <c r="E43" i="8"/>
  <c r="F43" i="8" s="1"/>
  <c r="G43" i="8" s="1"/>
  <c r="H43" i="8" s="1"/>
  <c r="E47" i="8"/>
  <c r="F47" i="8" s="1"/>
  <c r="E51" i="8"/>
  <c r="F51" i="8" s="1"/>
  <c r="E55" i="8"/>
  <c r="F55" i="8" s="1"/>
  <c r="E25" i="8"/>
  <c r="F25" i="8" s="1"/>
  <c r="G25" i="8" s="1"/>
  <c r="H25" i="8" s="1"/>
  <c r="E33" i="8"/>
  <c r="F33" i="8" s="1"/>
  <c r="E45" i="8"/>
  <c r="F45" i="8" s="1"/>
  <c r="E53" i="8"/>
  <c r="F53" i="8" s="1"/>
  <c r="E24" i="8"/>
  <c r="F24" i="8" s="1"/>
  <c r="F64" i="8" s="1"/>
  <c r="E32" i="8"/>
  <c r="F32" i="8" s="1"/>
  <c r="E36" i="8"/>
  <c r="F36" i="8" s="1"/>
  <c r="E40" i="8"/>
  <c r="F40" i="8" s="1"/>
  <c r="E44" i="8"/>
  <c r="F44" i="8" s="1"/>
  <c r="G44" i="8" s="1"/>
  <c r="H44" i="8" s="1"/>
  <c r="E48" i="8"/>
  <c r="F48" i="8" s="1"/>
  <c r="E52" i="8"/>
  <c r="F52" i="8" s="1"/>
  <c r="G52" i="8" s="1"/>
  <c r="H52" i="8" s="1"/>
  <c r="E56" i="8"/>
  <c r="F56" i="8" s="1"/>
  <c r="E60" i="8"/>
  <c r="F60" i="8" s="1"/>
  <c r="G60" i="8" s="1"/>
  <c r="H60" i="8" s="1"/>
  <c r="E21" i="8"/>
  <c r="F21" i="8" s="1"/>
  <c r="E41" i="8"/>
  <c r="F41" i="8" s="1"/>
  <c r="E61" i="8"/>
  <c r="F61" i="8" s="1"/>
  <c r="E29" i="8"/>
  <c r="F29" i="8" s="1"/>
  <c r="G29" i="8" s="1"/>
  <c r="H29" i="8" s="1"/>
  <c r="E28" i="8"/>
  <c r="F28" i="8" s="1"/>
  <c r="E20" i="8"/>
  <c r="F20" i="8" s="1"/>
  <c r="E59" i="8"/>
  <c r="F59" i="8" s="1"/>
  <c r="E63" i="8"/>
  <c r="F63" i="8" s="1"/>
  <c r="G63" i="8" s="1"/>
  <c r="H63" i="8" s="1"/>
  <c r="G30" i="8"/>
  <c r="H30" i="8" s="1"/>
  <c r="G38" i="8"/>
  <c r="H38" i="8" s="1"/>
  <c r="G42" i="8"/>
  <c r="H42" i="8" s="1"/>
  <c r="G46" i="8"/>
  <c r="H46" i="8" s="1"/>
  <c r="G54" i="8"/>
  <c r="H54" i="8" s="1"/>
  <c r="G58" i="8"/>
  <c r="H58" i="8" s="1"/>
  <c r="G31" i="8"/>
  <c r="H31" i="8" s="1"/>
  <c r="G35" i="8"/>
  <c r="H35" i="8" s="1"/>
  <c r="G39" i="8"/>
  <c r="H39" i="8" s="1"/>
  <c r="G47" i="8"/>
  <c r="H47" i="8" s="1"/>
  <c r="G51" i="8"/>
  <c r="H51" i="8" s="1"/>
  <c r="G55" i="8"/>
  <c r="H55" i="8" s="1"/>
  <c r="G59" i="8"/>
  <c r="H59" i="8" s="1"/>
  <c r="G28" i="8"/>
  <c r="H28" i="8" s="1"/>
  <c r="G36" i="8"/>
  <c r="H36" i="8" s="1"/>
  <c r="G33" i="8"/>
  <c r="H33" i="8" s="1"/>
  <c r="G41" i="8"/>
  <c r="H41" i="8" s="1"/>
  <c r="G45" i="8"/>
  <c r="H45" i="8" s="1"/>
  <c r="G49" i="8"/>
  <c r="H49" i="8" s="1"/>
  <c r="G53" i="8"/>
  <c r="H53" i="8" s="1"/>
  <c r="G57" i="8"/>
  <c r="H57" i="8" s="1"/>
  <c r="G62" i="8"/>
  <c r="H62" i="8" s="1"/>
  <c r="G23" i="8"/>
  <c r="H23" i="8" s="1"/>
  <c r="G32" i="8"/>
  <c r="H32" i="8" s="1"/>
  <c r="G40" i="8"/>
  <c r="H40" i="8" s="1"/>
  <c r="G48" i="8"/>
  <c r="H48" i="8" s="1"/>
  <c r="G56" i="8"/>
  <c r="H56" i="8" s="1"/>
  <c r="G61" i="8"/>
  <c r="H61" i="8" s="1"/>
  <c r="G20" i="8"/>
  <c r="H20" i="8" s="1"/>
  <c r="G22" i="8"/>
  <c r="H22" i="8" s="1"/>
  <c r="G21" i="8"/>
  <c r="H21" i="8" s="1"/>
  <c r="H18" i="11" l="1"/>
  <c r="H60" i="11" s="1"/>
  <c r="G24" i="8"/>
  <c r="H24" i="8" s="1"/>
  <c r="H64" i="8" s="1"/>
  <c r="E64" i="8"/>
  <c r="G64" i="8" l="1"/>
  <c r="D57" i="7"/>
  <c r="D29" i="7"/>
  <c r="D28" i="7"/>
  <c r="F3" i="7"/>
  <c r="F18" i="7" s="1"/>
  <c r="F5" i="6"/>
  <c r="F3" i="6"/>
  <c r="F17" i="6" s="1"/>
  <c r="D61" i="6"/>
  <c r="D57" i="6"/>
  <c r="D27" i="6"/>
  <c r="D26" i="6"/>
  <c r="D59" i="5"/>
  <c r="D55" i="5"/>
  <c r="D27" i="5"/>
  <c r="D26" i="5"/>
  <c r="F5" i="5"/>
  <c r="F3" i="5"/>
  <c r="D59" i="4"/>
  <c r="D55" i="4"/>
  <c r="D27" i="4"/>
  <c r="D26" i="4"/>
  <c r="F5" i="4"/>
  <c r="D61" i="3"/>
  <c r="D57" i="3"/>
  <c r="D28" i="3"/>
  <c r="D27" i="3"/>
  <c r="F6" i="3"/>
  <c r="F5" i="3"/>
  <c r="F3" i="3"/>
  <c r="F18" i="3" s="1"/>
  <c r="E57" i="7" l="1"/>
  <c r="F57" i="7"/>
  <c r="D62" i="7"/>
  <c r="E29" i="7" s="1"/>
  <c r="E27" i="6"/>
  <c r="F27" i="6" s="1"/>
  <c r="D62" i="6"/>
  <c r="E57" i="6"/>
  <c r="F57" i="6" s="1"/>
  <c r="E27" i="3"/>
  <c r="F27" i="3"/>
  <c r="F17" i="5"/>
  <c r="D60" i="4"/>
  <c r="E22" i="4" s="1"/>
  <c r="D60" i="5"/>
  <c r="E23" i="5" s="1"/>
  <c r="E25" i="5"/>
  <c r="E51" i="5"/>
  <c r="E38" i="5"/>
  <c r="F17" i="4"/>
  <c r="D62" i="3"/>
  <c r="D62" i="2"/>
  <c r="D58" i="2"/>
  <c r="D28" i="2"/>
  <c r="D27" i="2"/>
  <c r="F6" i="2"/>
  <c r="F5" i="2"/>
  <c r="F3" i="2"/>
  <c r="F6" i="1"/>
  <c r="F5" i="1"/>
  <c r="D60" i="1"/>
  <c r="D56" i="1"/>
  <c r="D28" i="1"/>
  <c r="D27" i="1"/>
  <c r="F3" i="1"/>
  <c r="F18" i="1" s="1"/>
  <c r="E24" i="7" l="1"/>
  <c r="E32" i="7"/>
  <c r="E36" i="7"/>
  <c r="E40" i="7"/>
  <c r="F40" i="7" s="1"/>
  <c r="E44" i="7"/>
  <c r="E48" i="7"/>
  <c r="E52" i="7"/>
  <c r="E56" i="7"/>
  <c r="F56" i="7" s="1"/>
  <c r="E60" i="7"/>
  <c r="E21" i="7"/>
  <c r="E25" i="7"/>
  <c r="E33" i="7"/>
  <c r="F33" i="7" s="1"/>
  <c r="E37" i="7"/>
  <c r="E41" i="7"/>
  <c r="E45" i="7"/>
  <c r="E49" i="7"/>
  <c r="F49" i="7" s="1"/>
  <c r="E53" i="7"/>
  <c r="E22" i="7"/>
  <c r="E26" i="7"/>
  <c r="E30" i="7"/>
  <c r="F30" i="7" s="1"/>
  <c r="E34" i="7"/>
  <c r="E38" i="7"/>
  <c r="E42" i="7"/>
  <c r="E46" i="7"/>
  <c r="F46" i="7" s="1"/>
  <c r="E50" i="7"/>
  <c r="E54" i="7"/>
  <c r="E58" i="7"/>
  <c r="E23" i="7"/>
  <c r="F23" i="7" s="1"/>
  <c r="E27" i="7"/>
  <c r="E31" i="7"/>
  <c r="E35" i="7"/>
  <c r="E39" i="7"/>
  <c r="F39" i="7" s="1"/>
  <c r="E43" i="7"/>
  <c r="E47" i="7"/>
  <c r="E51" i="7"/>
  <c r="E55" i="7"/>
  <c r="F55" i="7" s="1"/>
  <c r="E59" i="7"/>
  <c r="E61" i="7"/>
  <c r="E28" i="7"/>
  <c r="F25" i="7"/>
  <c r="F37" i="7"/>
  <c r="F41" i="7"/>
  <c r="F45" i="7"/>
  <c r="F53" i="7"/>
  <c r="F27" i="7"/>
  <c r="F35" i="7"/>
  <c r="F47" i="7"/>
  <c r="F51" i="7"/>
  <c r="F59" i="7"/>
  <c r="F24" i="7"/>
  <c r="F32" i="7"/>
  <c r="F48" i="7"/>
  <c r="F26" i="7"/>
  <c r="F34" i="7"/>
  <c r="F38" i="7"/>
  <c r="F42" i="7"/>
  <c r="F50" i="7"/>
  <c r="F54" i="7"/>
  <c r="F58" i="7"/>
  <c r="F31" i="7"/>
  <c r="F43" i="7"/>
  <c r="F36" i="7"/>
  <c r="F44" i="7"/>
  <c r="F52" i="7"/>
  <c r="F60" i="7"/>
  <c r="F61" i="7"/>
  <c r="F28" i="7"/>
  <c r="F29" i="7"/>
  <c r="F21" i="7"/>
  <c r="F22" i="7"/>
  <c r="E20" i="7"/>
  <c r="G27" i="6"/>
  <c r="H27" i="6" s="1"/>
  <c r="G57" i="6"/>
  <c r="H57" i="6" s="1"/>
  <c r="E25" i="6"/>
  <c r="F25" i="6" s="1"/>
  <c r="E24" i="6"/>
  <c r="F24" i="6" s="1"/>
  <c r="E23" i="6"/>
  <c r="F23" i="6" s="1"/>
  <c r="E22" i="6"/>
  <c r="F22" i="6" s="1"/>
  <c r="E21" i="6"/>
  <c r="F21" i="6" s="1"/>
  <c r="E20" i="6"/>
  <c r="F20" i="6" s="1"/>
  <c r="E19" i="6"/>
  <c r="E56" i="6"/>
  <c r="F56" i="6" s="1"/>
  <c r="E55" i="6"/>
  <c r="F55" i="6" s="1"/>
  <c r="E54" i="6"/>
  <c r="F54" i="6" s="1"/>
  <c r="E53" i="6"/>
  <c r="F53" i="6" s="1"/>
  <c r="E52" i="6"/>
  <c r="F52" i="6" s="1"/>
  <c r="E50" i="6"/>
  <c r="F50" i="6" s="1"/>
  <c r="E49" i="6"/>
  <c r="F49" i="6" s="1"/>
  <c r="E47" i="6"/>
  <c r="F47" i="6" s="1"/>
  <c r="E45" i="6"/>
  <c r="F45" i="6" s="1"/>
  <c r="E43" i="6"/>
  <c r="F43" i="6" s="1"/>
  <c r="E41" i="6"/>
  <c r="F41" i="6" s="1"/>
  <c r="E39" i="6"/>
  <c r="F39" i="6" s="1"/>
  <c r="E37" i="6"/>
  <c r="F37" i="6" s="1"/>
  <c r="E35" i="6"/>
  <c r="F35" i="6" s="1"/>
  <c r="E33" i="6"/>
  <c r="F33" i="6" s="1"/>
  <c r="E31" i="6"/>
  <c r="F31" i="6" s="1"/>
  <c r="E29" i="6"/>
  <c r="F29" i="6" s="1"/>
  <c r="E28" i="6"/>
  <c r="F28" i="6" s="1"/>
  <c r="E60" i="6"/>
  <c r="F60" i="6" s="1"/>
  <c r="E59" i="6"/>
  <c r="F59" i="6" s="1"/>
  <c r="E58" i="6"/>
  <c r="F58" i="6" s="1"/>
  <c r="E51" i="6"/>
  <c r="F51" i="6" s="1"/>
  <c r="E48" i="6"/>
  <c r="F48" i="6" s="1"/>
  <c r="E46" i="6"/>
  <c r="F46" i="6" s="1"/>
  <c r="E44" i="6"/>
  <c r="F44" i="6" s="1"/>
  <c r="E42" i="6"/>
  <c r="F42" i="6" s="1"/>
  <c r="E40" i="6"/>
  <c r="F40" i="6" s="1"/>
  <c r="E38" i="6"/>
  <c r="F38" i="6" s="1"/>
  <c r="E36" i="6"/>
  <c r="F36" i="6" s="1"/>
  <c r="E34" i="6"/>
  <c r="F34" i="6" s="1"/>
  <c r="E32" i="6"/>
  <c r="F32" i="6" s="1"/>
  <c r="E30" i="6"/>
  <c r="F30" i="6" s="1"/>
  <c r="E26" i="6"/>
  <c r="F26" i="6" s="1"/>
  <c r="E61" i="6"/>
  <c r="F61" i="6" s="1"/>
  <c r="E33" i="5"/>
  <c r="F33" i="5" s="1"/>
  <c r="G33" i="5" s="1"/>
  <c r="H33" i="5" s="1"/>
  <c r="E52" i="5"/>
  <c r="F52" i="5" s="1"/>
  <c r="G52" i="5" s="1"/>
  <c r="H52" i="5" s="1"/>
  <c r="F51" i="5"/>
  <c r="G51" i="5" s="1"/>
  <c r="H51" i="5" s="1"/>
  <c r="F23" i="5"/>
  <c r="G23" i="5" s="1"/>
  <c r="H23" i="5" s="1"/>
  <c r="F38" i="5"/>
  <c r="G38" i="5" s="1"/>
  <c r="H38" i="5" s="1"/>
  <c r="F25" i="5"/>
  <c r="G25" i="5" s="1"/>
  <c r="H25" i="5" s="1"/>
  <c r="E29" i="5"/>
  <c r="F29" i="5" s="1"/>
  <c r="G29" i="5" s="1"/>
  <c r="H29" i="5" s="1"/>
  <c r="E43" i="5"/>
  <c r="F43" i="5" s="1"/>
  <c r="G43" i="5" s="1"/>
  <c r="H43" i="5" s="1"/>
  <c r="E57" i="5"/>
  <c r="F57" i="5" s="1"/>
  <c r="G57" i="5" s="1"/>
  <c r="H57" i="5" s="1"/>
  <c r="E39" i="5"/>
  <c r="F39" i="5" s="1"/>
  <c r="G39" i="5" s="1"/>
  <c r="H39" i="5" s="1"/>
  <c r="E20" i="5"/>
  <c r="F20" i="5" s="1"/>
  <c r="G20" i="5" s="1"/>
  <c r="H20" i="5" s="1"/>
  <c r="E62" i="2"/>
  <c r="E31" i="5"/>
  <c r="F31" i="5" s="1"/>
  <c r="G31" i="5" s="1"/>
  <c r="H31" i="5" s="1"/>
  <c r="E45" i="5"/>
  <c r="F45" i="5" s="1"/>
  <c r="G45" i="5" s="1"/>
  <c r="H45" i="5" s="1"/>
  <c r="E58" i="5"/>
  <c r="F58" i="5" s="1"/>
  <c r="G58" i="5" s="1"/>
  <c r="H58" i="5" s="1"/>
  <c r="E42" i="5"/>
  <c r="F42" i="5" s="1"/>
  <c r="G42" i="5" s="1"/>
  <c r="E21" i="5"/>
  <c r="F21" i="5" s="1"/>
  <c r="E22" i="3"/>
  <c r="F22" i="3" s="1"/>
  <c r="E26" i="3"/>
  <c r="F26" i="3" s="1"/>
  <c r="E30" i="3"/>
  <c r="F30" i="3" s="1"/>
  <c r="E34" i="3"/>
  <c r="F34" i="3" s="1"/>
  <c r="E38" i="3"/>
  <c r="F38" i="3" s="1"/>
  <c r="G38" i="3" s="1"/>
  <c r="H38" i="3" s="1"/>
  <c r="E42" i="3"/>
  <c r="F42" i="3" s="1"/>
  <c r="E46" i="3"/>
  <c r="F46" i="3" s="1"/>
  <c r="E50" i="3"/>
  <c r="F50" i="3" s="1"/>
  <c r="E54" i="3"/>
  <c r="F54" i="3" s="1"/>
  <c r="E58" i="3"/>
  <c r="F58" i="3" s="1"/>
  <c r="E23" i="3"/>
  <c r="F23" i="3" s="1"/>
  <c r="E31" i="3"/>
  <c r="F31" i="3" s="1"/>
  <c r="G31" i="3" s="1"/>
  <c r="H31" i="3" s="1"/>
  <c r="E35" i="3"/>
  <c r="F35" i="3" s="1"/>
  <c r="G35" i="3" s="1"/>
  <c r="H35" i="3" s="1"/>
  <c r="E39" i="3"/>
  <c r="F39" i="3" s="1"/>
  <c r="E43" i="3"/>
  <c r="F43" i="3" s="1"/>
  <c r="E47" i="3"/>
  <c r="F47" i="3" s="1"/>
  <c r="G47" i="3" s="1"/>
  <c r="H47" i="3" s="1"/>
  <c r="E51" i="3"/>
  <c r="F51" i="3" s="1"/>
  <c r="G51" i="3" s="1"/>
  <c r="H51" i="3" s="1"/>
  <c r="E55" i="3"/>
  <c r="F55" i="3" s="1"/>
  <c r="E59" i="3"/>
  <c r="F59" i="3" s="1"/>
  <c r="E36" i="3"/>
  <c r="F36" i="3" s="1"/>
  <c r="E44" i="3"/>
  <c r="F44" i="3" s="1"/>
  <c r="G44" i="3" s="1"/>
  <c r="H44" i="3" s="1"/>
  <c r="E52" i="3"/>
  <c r="F52" i="3" s="1"/>
  <c r="E60" i="3"/>
  <c r="F60" i="3" s="1"/>
  <c r="E21" i="3"/>
  <c r="F21" i="3" s="1"/>
  <c r="G21" i="3" s="1"/>
  <c r="H21" i="3" s="1"/>
  <c r="E29" i="3"/>
  <c r="F29" i="3" s="1"/>
  <c r="E37" i="3"/>
  <c r="F37" i="3" s="1"/>
  <c r="E45" i="3"/>
  <c r="F45" i="3" s="1"/>
  <c r="E53" i="3"/>
  <c r="F53" i="3" s="1"/>
  <c r="G53" i="3" s="1"/>
  <c r="H53" i="3" s="1"/>
  <c r="E61" i="3"/>
  <c r="F61" i="3" s="1"/>
  <c r="G61" i="3" s="1"/>
  <c r="H61" i="3" s="1"/>
  <c r="E24" i="3"/>
  <c r="F24" i="3" s="1"/>
  <c r="E32" i="3"/>
  <c r="F32" i="3" s="1"/>
  <c r="E40" i="3"/>
  <c r="F40" i="3" s="1"/>
  <c r="E48" i="3"/>
  <c r="F48" i="3" s="1"/>
  <c r="E56" i="3"/>
  <c r="F56" i="3" s="1"/>
  <c r="E25" i="3"/>
  <c r="F25" i="3" s="1"/>
  <c r="E33" i="3"/>
  <c r="F33" i="3" s="1"/>
  <c r="G33" i="3" s="1"/>
  <c r="H33" i="3" s="1"/>
  <c r="E41" i="3"/>
  <c r="F41" i="3" s="1"/>
  <c r="E49" i="3"/>
  <c r="F49" i="3" s="1"/>
  <c r="E57" i="3"/>
  <c r="F57" i="3" s="1"/>
  <c r="E36" i="5"/>
  <c r="F36" i="5" s="1"/>
  <c r="G36" i="5" s="1"/>
  <c r="H36" i="5" s="1"/>
  <c r="E50" i="5"/>
  <c r="F50" i="5" s="1"/>
  <c r="E30" i="5"/>
  <c r="F30" i="5" s="1"/>
  <c r="G30" i="5" s="1"/>
  <c r="H30" i="5" s="1"/>
  <c r="E49" i="5"/>
  <c r="F49" i="5" s="1"/>
  <c r="G49" i="5" s="1"/>
  <c r="H49" i="5" s="1"/>
  <c r="E24" i="5"/>
  <c r="F24" i="5" s="1"/>
  <c r="G24" i="5" s="1"/>
  <c r="H24" i="5" s="1"/>
  <c r="E27" i="5"/>
  <c r="F27" i="5" s="1"/>
  <c r="G27" i="5" s="1"/>
  <c r="H27" i="5" s="1"/>
  <c r="E28" i="3"/>
  <c r="F28" i="3" s="1"/>
  <c r="F22" i="4"/>
  <c r="G22" i="4" s="1"/>
  <c r="H22" i="4" s="1"/>
  <c r="E19" i="4"/>
  <c r="F19" i="4" s="1"/>
  <c r="G19" i="4" s="1"/>
  <c r="H19" i="4" s="1"/>
  <c r="E41" i="4"/>
  <c r="F41" i="4" s="1"/>
  <c r="G41" i="4" s="1"/>
  <c r="H41" i="4" s="1"/>
  <c r="E23" i="4"/>
  <c r="F23" i="4" s="1"/>
  <c r="G23" i="4" s="1"/>
  <c r="H23" i="4" s="1"/>
  <c r="E34" i="4"/>
  <c r="F34" i="4" s="1"/>
  <c r="G34" i="4" s="1"/>
  <c r="H34" i="4" s="1"/>
  <c r="E25" i="4"/>
  <c r="F25" i="4" s="1"/>
  <c r="G25" i="4" s="1"/>
  <c r="H25" i="4" s="1"/>
  <c r="E24" i="4"/>
  <c r="F24" i="4" s="1"/>
  <c r="G24" i="4" s="1"/>
  <c r="H24" i="4" s="1"/>
  <c r="E51" i="4"/>
  <c r="F51" i="4" s="1"/>
  <c r="G51" i="4" s="1"/>
  <c r="H51" i="4" s="1"/>
  <c r="E55" i="4"/>
  <c r="F55" i="4" s="1"/>
  <c r="G55" i="4" s="1"/>
  <c r="H55" i="4" s="1"/>
  <c r="E28" i="4"/>
  <c r="F28" i="4" s="1"/>
  <c r="G28" i="4" s="1"/>
  <c r="H28" i="4" s="1"/>
  <c r="E36" i="4"/>
  <c r="F36" i="4" s="1"/>
  <c r="G36" i="4" s="1"/>
  <c r="H36" i="4" s="1"/>
  <c r="E44" i="4"/>
  <c r="F44" i="4" s="1"/>
  <c r="G44" i="4" s="1"/>
  <c r="H44" i="4" s="1"/>
  <c r="E52" i="4"/>
  <c r="F52" i="4" s="1"/>
  <c r="G52" i="4" s="1"/>
  <c r="H52" i="4" s="1"/>
  <c r="E56" i="4"/>
  <c r="F56" i="4" s="1"/>
  <c r="G56" i="4" s="1"/>
  <c r="H56" i="4" s="1"/>
  <c r="E42" i="4"/>
  <c r="F42" i="4" s="1"/>
  <c r="G42" i="4" s="1"/>
  <c r="H42" i="4" s="1"/>
  <c r="E27" i="4"/>
  <c r="F27" i="4" s="1"/>
  <c r="G27" i="4" s="1"/>
  <c r="H27" i="4" s="1"/>
  <c r="E43" i="4"/>
  <c r="F43" i="4" s="1"/>
  <c r="E29" i="4"/>
  <c r="F29" i="4" s="1"/>
  <c r="G29" i="4" s="1"/>
  <c r="H29" i="4" s="1"/>
  <c r="E53" i="4"/>
  <c r="F53" i="4" s="1"/>
  <c r="G53" i="4" s="1"/>
  <c r="H53" i="4" s="1"/>
  <c r="E30" i="4"/>
  <c r="F30" i="4" s="1"/>
  <c r="G30" i="4" s="1"/>
  <c r="H30" i="4" s="1"/>
  <c r="E38" i="4"/>
  <c r="F38" i="4" s="1"/>
  <c r="G38" i="4" s="1"/>
  <c r="H38" i="4" s="1"/>
  <c r="E46" i="4"/>
  <c r="F46" i="4" s="1"/>
  <c r="G46" i="4" s="1"/>
  <c r="H46" i="4" s="1"/>
  <c r="E54" i="4"/>
  <c r="F54" i="4" s="1"/>
  <c r="G54" i="4" s="1"/>
  <c r="H54" i="4" s="1"/>
  <c r="E58" i="4"/>
  <c r="F58" i="4" s="1"/>
  <c r="G58" i="4" s="1"/>
  <c r="H58" i="4" s="1"/>
  <c r="E33" i="4"/>
  <c r="F33" i="4" s="1"/>
  <c r="G33" i="4" s="1"/>
  <c r="H33" i="4" s="1"/>
  <c r="E49" i="4"/>
  <c r="F49" i="4" s="1"/>
  <c r="G49" i="4" s="1"/>
  <c r="H49" i="4" s="1"/>
  <c r="E21" i="4"/>
  <c r="F21" i="4" s="1"/>
  <c r="G21" i="4" s="1"/>
  <c r="H21" i="4" s="1"/>
  <c r="E50" i="4"/>
  <c r="F50" i="4" s="1"/>
  <c r="G50" i="4" s="1"/>
  <c r="H50" i="4" s="1"/>
  <c r="E35" i="4"/>
  <c r="F35" i="4" s="1"/>
  <c r="G35" i="4" s="1"/>
  <c r="H35" i="4" s="1"/>
  <c r="E45" i="4"/>
  <c r="F45" i="4" s="1"/>
  <c r="G45" i="4" s="1"/>
  <c r="H45" i="4" s="1"/>
  <c r="E57" i="4"/>
  <c r="F57" i="4" s="1"/>
  <c r="G57" i="4" s="1"/>
  <c r="H57" i="4" s="1"/>
  <c r="E31" i="4"/>
  <c r="F31" i="4" s="1"/>
  <c r="G31" i="4" s="1"/>
  <c r="H31" i="4" s="1"/>
  <c r="E39" i="4"/>
  <c r="F39" i="4" s="1"/>
  <c r="G39" i="4" s="1"/>
  <c r="H39" i="4" s="1"/>
  <c r="E47" i="4"/>
  <c r="F47" i="4" s="1"/>
  <c r="G47" i="4" s="1"/>
  <c r="H47" i="4" s="1"/>
  <c r="E20" i="4"/>
  <c r="F20" i="4" s="1"/>
  <c r="G20" i="4" s="1"/>
  <c r="H20" i="4" s="1"/>
  <c r="E59" i="4"/>
  <c r="F59" i="4" s="1"/>
  <c r="G59" i="4" s="1"/>
  <c r="H59" i="4" s="1"/>
  <c r="E26" i="4"/>
  <c r="F26" i="4" s="1"/>
  <c r="G26" i="4" s="1"/>
  <c r="H26" i="4" s="1"/>
  <c r="E37" i="4"/>
  <c r="F37" i="4" s="1"/>
  <c r="G37" i="4" s="1"/>
  <c r="H37" i="4" s="1"/>
  <c r="E32" i="4"/>
  <c r="F32" i="4" s="1"/>
  <c r="G32" i="4" s="1"/>
  <c r="H32" i="4" s="1"/>
  <c r="E40" i="4"/>
  <c r="F40" i="4" s="1"/>
  <c r="G40" i="4" s="1"/>
  <c r="H40" i="4" s="1"/>
  <c r="E48" i="4"/>
  <c r="F48" i="4" s="1"/>
  <c r="G48" i="4" s="1"/>
  <c r="H48" i="4" s="1"/>
  <c r="E32" i="5"/>
  <c r="F32" i="5" s="1"/>
  <c r="G32" i="5" s="1"/>
  <c r="H32" i="5" s="1"/>
  <c r="E40" i="5"/>
  <c r="F40" i="5" s="1"/>
  <c r="E46" i="5"/>
  <c r="F46" i="5" s="1"/>
  <c r="E53" i="5"/>
  <c r="F53" i="5" s="1"/>
  <c r="G53" i="5" s="1"/>
  <c r="H53" i="5" s="1"/>
  <c r="E26" i="5"/>
  <c r="F26" i="5" s="1"/>
  <c r="G26" i="5" s="1"/>
  <c r="E35" i="5"/>
  <c r="F35" i="5" s="1"/>
  <c r="E44" i="5"/>
  <c r="F44" i="5" s="1"/>
  <c r="G44" i="5" s="1"/>
  <c r="H44" i="5" s="1"/>
  <c r="E54" i="5"/>
  <c r="F54" i="5" s="1"/>
  <c r="G54" i="5" s="1"/>
  <c r="H54" i="5" s="1"/>
  <c r="E22" i="5"/>
  <c r="F22" i="5" s="1"/>
  <c r="G22" i="5" s="1"/>
  <c r="H22" i="5" s="1"/>
  <c r="E55" i="5"/>
  <c r="F55" i="5" s="1"/>
  <c r="G55" i="5" s="1"/>
  <c r="H55" i="5" s="1"/>
  <c r="E59" i="5"/>
  <c r="F59" i="5" s="1"/>
  <c r="E34" i="5"/>
  <c r="F34" i="5" s="1"/>
  <c r="G34" i="5" s="1"/>
  <c r="E41" i="5"/>
  <c r="F41" i="5" s="1"/>
  <c r="G41" i="5" s="1"/>
  <c r="H41" i="5" s="1"/>
  <c r="E48" i="5"/>
  <c r="F48" i="5" s="1"/>
  <c r="G48" i="5" s="1"/>
  <c r="E56" i="5"/>
  <c r="F56" i="5" s="1"/>
  <c r="G56" i="5" s="1"/>
  <c r="H56" i="5" s="1"/>
  <c r="E28" i="5"/>
  <c r="F28" i="5" s="1"/>
  <c r="G28" i="5" s="1"/>
  <c r="H28" i="5" s="1"/>
  <c r="E37" i="5"/>
  <c r="F37" i="5" s="1"/>
  <c r="G37" i="5" s="1"/>
  <c r="H37" i="5" s="1"/>
  <c r="E47" i="5"/>
  <c r="F47" i="5" s="1"/>
  <c r="G47" i="5" s="1"/>
  <c r="E19" i="5"/>
  <c r="G59" i="5"/>
  <c r="H59" i="5" s="1"/>
  <c r="G50" i="5"/>
  <c r="H50" i="5" s="1"/>
  <c r="F19" i="5"/>
  <c r="G46" i="5"/>
  <c r="H46" i="5" s="1"/>
  <c r="G46" i="3"/>
  <c r="H46" i="3" s="1"/>
  <c r="G22" i="3"/>
  <c r="H22" i="3" s="1"/>
  <c r="G56" i="3"/>
  <c r="H56" i="3" s="1"/>
  <c r="G55" i="3"/>
  <c r="H55" i="3" s="1"/>
  <c r="G59" i="3"/>
  <c r="H59" i="3" s="1"/>
  <c r="G42" i="3"/>
  <c r="H42" i="3" s="1"/>
  <c r="G27" i="3"/>
  <c r="H27" i="3" s="1"/>
  <c r="G40" i="3"/>
  <c r="H40" i="3" s="1"/>
  <c r="G50" i="3"/>
  <c r="H50" i="3" s="1"/>
  <c r="G39" i="3"/>
  <c r="H39" i="3" s="1"/>
  <c r="G45" i="3"/>
  <c r="H45" i="3" s="1"/>
  <c r="E20" i="3"/>
  <c r="F20" i="3" s="1"/>
  <c r="G20" i="3" s="1"/>
  <c r="G41" i="3"/>
  <c r="H41" i="3" s="1"/>
  <c r="G24" i="3"/>
  <c r="H24" i="3" s="1"/>
  <c r="G49" i="3"/>
  <c r="G28" i="3"/>
  <c r="H28" i="3" s="1"/>
  <c r="G48" i="3"/>
  <c r="H48" i="3" s="1"/>
  <c r="G25" i="3"/>
  <c r="H25" i="3" s="1"/>
  <c r="G32" i="3"/>
  <c r="H32" i="3" s="1"/>
  <c r="G26" i="3"/>
  <c r="H26" i="3" s="1"/>
  <c r="G29" i="3"/>
  <c r="H29" i="3" s="1"/>
  <c r="G30" i="3"/>
  <c r="H30" i="3" s="1"/>
  <c r="G60" i="3"/>
  <c r="H60" i="3" s="1"/>
  <c r="G34" i="3"/>
  <c r="H34" i="3" s="1"/>
  <c r="G57" i="3"/>
  <c r="H57" i="3" s="1"/>
  <c r="G37" i="3"/>
  <c r="H37" i="3" s="1"/>
  <c r="G58" i="3"/>
  <c r="H58" i="3" s="1"/>
  <c r="G52" i="3"/>
  <c r="H52" i="3"/>
  <c r="G54" i="3"/>
  <c r="H54" i="3" s="1"/>
  <c r="F18" i="2"/>
  <c r="D63" i="2"/>
  <c r="E20" i="2"/>
  <c r="F20" i="2" s="1"/>
  <c r="D61" i="1"/>
  <c r="E25" i="1" s="1"/>
  <c r="G24" i="7" l="1"/>
  <c r="H24" i="7" s="1"/>
  <c r="G26" i="7"/>
  <c r="H26" i="7" s="1"/>
  <c r="G36" i="7"/>
  <c r="H36" i="7" s="1"/>
  <c r="G44" i="7"/>
  <c r="H44" i="7" s="1"/>
  <c r="G52" i="7"/>
  <c r="H52" i="7" s="1"/>
  <c r="E62" i="7"/>
  <c r="F20" i="7"/>
  <c r="G29" i="7"/>
  <c r="H29" i="7" s="1"/>
  <c r="G37" i="7"/>
  <c r="H37" i="7" s="1"/>
  <c r="G45" i="7"/>
  <c r="H45" i="7" s="1"/>
  <c r="G57" i="7"/>
  <c r="H57" i="7" s="1"/>
  <c r="G22" i="7"/>
  <c r="H22" i="7" s="1"/>
  <c r="G21" i="7"/>
  <c r="H21" i="7" s="1"/>
  <c r="G30" i="7"/>
  <c r="H30" i="7" s="1"/>
  <c r="G34" i="7"/>
  <c r="H34" i="7" s="1"/>
  <c r="G38" i="7"/>
  <c r="H38" i="7" s="1"/>
  <c r="G42" i="7"/>
  <c r="H42" i="7" s="1"/>
  <c r="G46" i="7"/>
  <c r="H46" i="7" s="1"/>
  <c r="G50" i="7"/>
  <c r="H50" i="7" s="1"/>
  <c r="G54" i="7"/>
  <c r="H54" i="7" s="1"/>
  <c r="G58" i="7"/>
  <c r="H58" i="7" s="1"/>
  <c r="G27" i="7"/>
  <c r="H27" i="7" s="1"/>
  <c r="G32" i="7"/>
  <c r="H32" i="7" s="1"/>
  <c r="G40" i="7"/>
  <c r="H40" i="7" s="1"/>
  <c r="G48" i="7"/>
  <c r="H48" i="7" s="1"/>
  <c r="H56" i="7"/>
  <c r="G61" i="7"/>
  <c r="H61" i="7" s="1"/>
  <c r="G33" i="7"/>
  <c r="H33" i="7" s="1"/>
  <c r="G41" i="7"/>
  <c r="H41" i="7" s="1"/>
  <c r="G49" i="7"/>
  <c r="H49" i="7" s="1"/>
  <c r="G53" i="7"/>
  <c r="H53" i="7" s="1"/>
  <c r="G25" i="7"/>
  <c r="H25" i="7" s="1"/>
  <c r="G23" i="7"/>
  <c r="H23" i="7" s="1"/>
  <c r="G31" i="7"/>
  <c r="H31" i="7" s="1"/>
  <c r="G35" i="7"/>
  <c r="H35" i="7" s="1"/>
  <c r="G39" i="7"/>
  <c r="H39" i="7" s="1"/>
  <c r="G43" i="7"/>
  <c r="H43" i="7" s="1"/>
  <c r="G47" i="7"/>
  <c r="H47" i="7" s="1"/>
  <c r="G51" i="7"/>
  <c r="H51" i="7" s="1"/>
  <c r="G55" i="7"/>
  <c r="H55" i="7" s="1"/>
  <c r="G59" i="7"/>
  <c r="H59" i="7" s="1"/>
  <c r="G28" i="7"/>
  <c r="H28" i="7" s="1"/>
  <c r="G60" i="7"/>
  <c r="H60" i="7" s="1"/>
  <c r="G61" i="6"/>
  <c r="H61" i="6" s="1"/>
  <c r="G28" i="6"/>
  <c r="H28" i="6"/>
  <c r="G26" i="6"/>
  <c r="H26" i="6" s="1"/>
  <c r="G44" i="6"/>
  <c r="H44" i="6" s="1"/>
  <c r="G29" i="6"/>
  <c r="H29" i="6" s="1"/>
  <c r="G45" i="6"/>
  <c r="H45" i="6" s="1"/>
  <c r="G56" i="6"/>
  <c r="H56" i="6" s="1"/>
  <c r="G30" i="6"/>
  <c r="H30" i="6"/>
  <c r="G38" i="6"/>
  <c r="H38" i="6" s="1"/>
  <c r="G46" i="6"/>
  <c r="H46" i="6" s="1"/>
  <c r="G59" i="6"/>
  <c r="H59" i="6" s="1"/>
  <c r="G31" i="6"/>
  <c r="H31" i="6" s="1"/>
  <c r="G39" i="6"/>
  <c r="H39" i="6" s="1"/>
  <c r="G47" i="6"/>
  <c r="H47" i="6"/>
  <c r="G53" i="6"/>
  <c r="H53" i="6" s="1"/>
  <c r="E62" i="6"/>
  <c r="F19" i="6"/>
  <c r="G23" i="6"/>
  <c r="H23" i="6" s="1"/>
  <c r="G34" i="6"/>
  <c r="H34" i="6" s="1"/>
  <c r="G35" i="6"/>
  <c r="H35" i="6" s="1"/>
  <c r="G36" i="6"/>
  <c r="H36" i="6"/>
  <c r="G58" i="6"/>
  <c r="H58" i="6" s="1"/>
  <c r="G37" i="6"/>
  <c r="H37" i="6"/>
  <c r="G52" i="6"/>
  <c r="H52" i="6" s="1"/>
  <c r="G22" i="6"/>
  <c r="H22" i="6" s="1"/>
  <c r="G32" i="6"/>
  <c r="H32" i="6" s="1"/>
  <c r="G40" i="6"/>
  <c r="H40" i="6"/>
  <c r="G48" i="6"/>
  <c r="H48" i="6" s="1"/>
  <c r="G60" i="6"/>
  <c r="H60" i="6" s="1"/>
  <c r="G33" i="6"/>
  <c r="H33" i="6" s="1"/>
  <c r="G41" i="6"/>
  <c r="H41" i="6"/>
  <c r="G49" i="6"/>
  <c r="H49" i="6" s="1"/>
  <c r="G54" i="6"/>
  <c r="H54" i="6" s="1"/>
  <c r="G20" i="6"/>
  <c r="H20" i="6" s="1"/>
  <c r="G24" i="6"/>
  <c r="H24" i="6" s="1"/>
  <c r="G42" i="6"/>
  <c r="H42" i="6" s="1"/>
  <c r="G51" i="6"/>
  <c r="H51" i="6" s="1"/>
  <c r="G43" i="6"/>
  <c r="H43" i="6" s="1"/>
  <c r="G50" i="6"/>
  <c r="H50" i="6"/>
  <c r="G55" i="6"/>
  <c r="H55" i="6" s="1"/>
  <c r="G21" i="6"/>
  <c r="H21" i="6" s="1"/>
  <c r="G25" i="6"/>
  <c r="H25" i="6" s="1"/>
  <c r="H34" i="5"/>
  <c r="G21" i="5"/>
  <c r="H21" i="5" s="1"/>
  <c r="E24" i="2"/>
  <c r="E32" i="2"/>
  <c r="F32" i="2" s="1"/>
  <c r="G32" i="2" s="1"/>
  <c r="H32" i="2" s="1"/>
  <c r="E36" i="2"/>
  <c r="F36" i="2" s="1"/>
  <c r="G36" i="2" s="1"/>
  <c r="H36" i="2" s="1"/>
  <c r="E40" i="2"/>
  <c r="E44" i="2"/>
  <c r="E48" i="2"/>
  <c r="E52" i="2"/>
  <c r="E56" i="2"/>
  <c r="E60" i="2"/>
  <c r="E21" i="2"/>
  <c r="F21" i="2" s="1"/>
  <c r="E25" i="2"/>
  <c r="F25" i="2" s="1"/>
  <c r="G25" i="2" s="1"/>
  <c r="H25" i="2" s="1"/>
  <c r="E29" i="2"/>
  <c r="E33" i="2"/>
  <c r="E37" i="2"/>
  <c r="E41" i="2"/>
  <c r="F41" i="2" s="1"/>
  <c r="G41" i="2" s="1"/>
  <c r="H41" i="2" s="1"/>
  <c r="E45" i="2"/>
  <c r="E49" i="2"/>
  <c r="E53" i="2"/>
  <c r="F53" i="2" s="1"/>
  <c r="G53" i="2" s="1"/>
  <c r="H53" i="2" s="1"/>
  <c r="E57" i="2"/>
  <c r="F57" i="2" s="1"/>
  <c r="G57" i="2" s="1"/>
  <c r="H57" i="2" s="1"/>
  <c r="E61" i="2"/>
  <c r="E26" i="2"/>
  <c r="F26" i="2" s="1"/>
  <c r="G26" i="2" s="1"/>
  <c r="H26" i="2" s="1"/>
  <c r="E34" i="2"/>
  <c r="E42" i="2"/>
  <c r="F42" i="2" s="1"/>
  <c r="G42" i="2" s="1"/>
  <c r="H42" i="2" s="1"/>
  <c r="E50" i="2"/>
  <c r="E35" i="2"/>
  <c r="E43" i="2"/>
  <c r="E51" i="2"/>
  <c r="F51" i="2" s="1"/>
  <c r="G51" i="2" s="1"/>
  <c r="H51" i="2" s="1"/>
  <c r="E59" i="2"/>
  <c r="E22" i="2"/>
  <c r="E30" i="2"/>
  <c r="F30" i="2" s="1"/>
  <c r="G30" i="2" s="1"/>
  <c r="H30" i="2" s="1"/>
  <c r="E38" i="2"/>
  <c r="E46" i="2"/>
  <c r="E54" i="2"/>
  <c r="E23" i="2"/>
  <c r="E31" i="2"/>
  <c r="F31" i="2" s="1"/>
  <c r="G31" i="2" s="1"/>
  <c r="H31" i="2" s="1"/>
  <c r="E39" i="2"/>
  <c r="E47" i="2"/>
  <c r="F47" i="2" s="1"/>
  <c r="G47" i="2" s="1"/>
  <c r="H47" i="2" s="1"/>
  <c r="E55" i="2"/>
  <c r="F22" i="2"/>
  <c r="F34" i="2"/>
  <c r="G34" i="2" s="1"/>
  <c r="H34" i="2" s="1"/>
  <c r="F38" i="2"/>
  <c r="G38" i="2" s="1"/>
  <c r="H38" i="2" s="1"/>
  <c r="F46" i="2"/>
  <c r="F50" i="2"/>
  <c r="G50" i="2" s="1"/>
  <c r="H50" i="2" s="1"/>
  <c r="F54" i="2"/>
  <c r="G54" i="2" s="1"/>
  <c r="H54" i="2" s="1"/>
  <c r="F62" i="2"/>
  <c r="F23" i="2"/>
  <c r="G23" i="2" s="1"/>
  <c r="H23" i="2" s="1"/>
  <c r="F27" i="2"/>
  <c r="G27" i="2" s="1"/>
  <c r="H27" i="2" s="1"/>
  <c r="F35" i="2"/>
  <c r="F39" i="2"/>
  <c r="F43" i="2"/>
  <c r="G43" i="2" s="1"/>
  <c r="H43" i="2" s="1"/>
  <c r="F55" i="2"/>
  <c r="F59" i="2"/>
  <c r="G59" i="2" s="1"/>
  <c r="H59" i="2" s="1"/>
  <c r="F44" i="2"/>
  <c r="H44" i="2" s="1"/>
  <c r="F52" i="2"/>
  <c r="G52" i="2" s="1"/>
  <c r="H52" i="2" s="1"/>
  <c r="F60" i="2"/>
  <c r="F29" i="2"/>
  <c r="G29" i="2" s="1"/>
  <c r="H29" i="2" s="1"/>
  <c r="F37" i="2"/>
  <c r="G37" i="2" s="1"/>
  <c r="H37" i="2" s="1"/>
  <c r="F45" i="2"/>
  <c r="F61" i="2"/>
  <c r="G61" i="2" s="1"/>
  <c r="H61" i="2" s="1"/>
  <c r="F24" i="2"/>
  <c r="G24" i="2" s="1"/>
  <c r="H24" i="2" s="1"/>
  <c r="F40" i="2"/>
  <c r="F48" i="2"/>
  <c r="G48" i="2" s="1"/>
  <c r="H48" i="2" s="1"/>
  <c r="F56" i="2"/>
  <c r="F33" i="2"/>
  <c r="F49" i="2"/>
  <c r="G49" i="2" s="1"/>
  <c r="H49" i="2" s="1"/>
  <c r="H42" i="5"/>
  <c r="E27" i="2"/>
  <c r="E58" i="2"/>
  <c r="F58" i="2" s="1"/>
  <c r="G58" i="2" s="1"/>
  <c r="H58" i="2" s="1"/>
  <c r="G35" i="5"/>
  <c r="H35" i="5" s="1"/>
  <c r="H26" i="5"/>
  <c r="G40" i="5"/>
  <c r="H40" i="5" s="1"/>
  <c r="E28" i="2"/>
  <c r="F28" i="2" s="1"/>
  <c r="G28" i="2" s="1"/>
  <c r="H28" i="2" s="1"/>
  <c r="E60" i="4"/>
  <c r="F60" i="4"/>
  <c r="E60" i="5"/>
  <c r="H48" i="5"/>
  <c r="H47" i="5"/>
  <c r="G19" i="5"/>
  <c r="H19" i="5" s="1"/>
  <c r="F60" i="5"/>
  <c r="G43" i="4"/>
  <c r="H43" i="4" s="1"/>
  <c r="H60" i="4" s="1"/>
  <c r="G23" i="3"/>
  <c r="H23" i="3" s="1"/>
  <c r="H43" i="3"/>
  <c r="G43" i="3"/>
  <c r="G36" i="3"/>
  <c r="H36" i="3" s="1"/>
  <c r="F62" i="3"/>
  <c r="H49" i="3"/>
  <c r="E62" i="3"/>
  <c r="H20" i="3"/>
  <c r="G40" i="2"/>
  <c r="H40" i="2" s="1"/>
  <c r="G55" i="2"/>
  <c r="H55" i="2" s="1"/>
  <c r="G33" i="2"/>
  <c r="H33" i="2" s="1"/>
  <c r="G35" i="2"/>
  <c r="H35" i="2" s="1"/>
  <c r="G39" i="2"/>
  <c r="H39" i="2" s="1"/>
  <c r="G44" i="2"/>
  <c r="G45" i="2"/>
  <c r="H45" i="2"/>
  <c r="G46" i="2"/>
  <c r="H46" i="2" s="1"/>
  <c r="G60" i="2"/>
  <c r="H60" i="2" s="1"/>
  <c r="G62" i="2"/>
  <c r="H62" i="2" s="1"/>
  <c r="G20" i="2"/>
  <c r="H20" i="2" s="1"/>
  <c r="E63" i="2"/>
  <c r="E31" i="1"/>
  <c r="F31" i="1" s="1"/>
  <c r="G31" i="1" s="1"/>
  <c r="H31" i="1" s="1"/>
  <c r="E35" i="1"/>
  <c r="E39" i="1"/>
  <c r="F39" i="1" s="1"/>
  <c r="G39" i="1" s="1"/>
  <c r="H39" i="1" s="1"/>
  <c r="E43" i="1"/>
  <c r="F43" i="1" s="1"/>
  <c r="G43" i="1" s="1"/>
  <c r="H43" i="1" s="1"/>
  <c r="E47" i="1"/>
  <c r="F47" i="1" s="1"/>
  <c r="G47" i="1" s="1"/>
  <c r="H47" i="1" s="1"/>
  <c r="E51" i="1"/>
  <c r="E55" i="1"/>
  <c r="F55" i="1" s="1"/>
  <c r="G55" i="1" s="1"/>
  <c r="H55" i="1" s="1"/>
  <c r="E58" i="1"/>
  <c r="E22" i="1"/>
  <c r="F22" i="1" s="1"/>
  <c r="G22" i="1" s="1"/>
  <c r="H22" i="1" s="1"/>
  <c r="E26" i="1"/>
  <c r="E32" i="1"/>
  <c r="F32" i="1" s="1"/>
  <c r="G32" i="1" s="1"/>
  <c r="H32" i="1" s="1"/>
  <c r="E36" i="1"/>
  <c r="F36" i="1" s="1"/>
  <c r="G36" i="1" s="1"/>
  <c r="H36" i="1" s="1"/>
  <c r="E40" i="1"/>
  <c r="F40" i="1" s="1"/>
  <c r="G40" i="1" s="1"/>
  <c r="H40" i="1" s="1"/>
  <c r="E44" i="1"/>
  <c r="E48" i="1"/>
  <c r="F48" i="1" s="1"/>
  <c r="G48" i="1" s="1"/>
  <c r="H48" i="1" s="1"/>
  <c r="E52" i="1"/>
  <c r="F52" i="1" s="1"/>
  <c r="E27" i="1"/>
  <c r="F27" i="1" s="1"/>
  <c r="G27" i="1" s="1"/>
  <c r="H27" i="1" s="1"/>
  <c r="E59" i="1"/>
  <c r="F59" i="1" s="1"/>
  <c r="G59" i="1" s="1"/>
  <c r="H59" i="1" s="1"/>
  <c r="E23" i="1"/>
  <c r="F23" i="1" s="1"/>
  <c r="G23" i="1" s="1"/>
  <c r="H23" i="1" s="1"/>
  <c r="E60" i="1"/>
  <c r="F60" i="1" s="1"/>
  <c r="G60" i="1" s="1"/>
  <c r="E29" i="1"/>
  <c r="F29" i="1" s="1"/>
  <c r="G29" i="1" s="1"/>
  <c r="H29" i="1" s="1"/>
  <c r="E33" i="1"/>
  <c r="E37" i="1"/>
  <c r="F37" i="1" s="1"/>
  <c r="G37" i="1" s="1"/>
  <c r="H37" i="1" s="1"/>
  <c r="E41" i="1"/>
  <c r="F41" i="1" s="1"/>
  <c r="G41" i="1" s="1"/>
  <c r="H41" i="1" s="1"/>
  <c r="E45" i="1"/>
  <c r="F45" i="1" s="1"/>
  <c r="G45" i="1" s="1"/>
  <c r="H45" i="1" s="1"/>
  <c r="E49" i="1"/>
  <c r="E53" i="1"/>
  <c r="E56" i="1"/>
  <c r="F56" i="1" s="1"/>
  <c r="G56" i="1" s="1"/>
  <c r="H56" i="1" s="1"/>
  <c r="E20" i="1"/>
  <c r="F20" i="1" s="1"/>
  <c r="E24" i="1"/>
  <c r="F24" i="1" s="1"/>
  <c r="G24" i="1" s="1"/>
  <c r="H24" i="1" s="1"/>
  <c r="E28" i="1"/>
  <c r="F28" i="1" s="1"/>
  <c r="G28" i="1" s="1"/>
  <c r="H28" i="1" s="1"/>
  <c r="E30" i="1"/>
  <c r="F30" i="1" s="1"/>
  <c r="G30" i="1" s="1"/>
  <c r="H30" i="1" s="1"/>
  <c r="E34" i="1"/>
  <c r="F34" i="1" s="1"/>
  <c r="E38" i="1"/>
  <c r="F38" i="1" s="1"/>
  <c r="E42" i="1"/>
  <c r="F42" i="1" s="1"/>
  <c r="G42" i="1" s="1"/>
  <c r="H42" i="1" s="1"/>
  <c r="E46" i="1"/>
  <c r="F46" i="1" s="1"/>
  <c r="E50" i="1"/>
  <c r="F50" i="1" s="1"/>
  <c r="G50" i="1" s="1"/>
  <c r="H50" i="1" s="1"/>
  <c r="E54" i="1"/>
  <c r="E57" i="1"/>
  <c r="F57" i="1" s="1"/>
  <c r="G57" i="1" s="1"/>
  <c r="H57" i="1" s="1"/>
  <c r="E21" i="1"/>
  <c r="F25" i="1"/>
  <c r="G25" i="1" s="1"/>
  <c r="H25" i="1" s="1"/>
  <c r="F26" i="1"/>
  <c r="G26" i="1" s="1"/>
  <c r="H26" i="1" s="1"/>
  <c r="F33" i="1"/>
  <c r="G33" i="1" s="1"/>
  <c r="H33" i="1" s="1"/>
  <c r="F44" i="1"/>
  <c r="G44" i="1" s="1"/>
  <c r="H44" i="1" s="1"/>
  <c r="F49" i="1"/>
  <c r="G49" i="1" s="1"/>
  <c r="H49" i="1" s="1"/>
  <c r="F54" i="1"/>
  <c r="G54" i="1" s="1"/>
  <c r="H54" i="1" s="1"/>
  <c r="F53" i="1"/>
  <c r="G53" i="1" s="1"/>
  <c r="H53" i="1" s="1"/>
  <c r="F58" i="1"/>
  <c r="G58" i="1" s="1"/>
  <c r="H58" i="1" s="1"/>
  <c r="F35" i="1"/>
  <c r="G35" i="1" s="1"/>
  <c r="H35" i="1" s="1"/>
  <c r="F51" i="1"/>
  <c r="G51" i="1" s="1"/>
  <c r="H51" i="1" s="1"/>
  <c r="G34" i="1"/>
  <c r="H34" i="1" s="1"/>
  <c r="G38" i="1"/>
  <c r="H38" i="1" s="1"/>
  <c r="G52" i="1"/>
  <c r="H52" i="1" s="1"/>
  <c r="F62" i="7" l="1"/>
  <c r="G20" i="7"/>
  <c r="G62" i="7" s="1"/>
  <c r="F62" i="6"/>
  <c r="G19" i="6"/>
  <c r="G62" i="6" s="1"/>
  <c r="F63" i="2"/>
  <c r="G21" i="2"/>
  <c r="H21" i="2" s="1"/>
  <c r="G60" i="5"/>
  <c r="H60" i="5"/>
  <c r="G60" i="4"/>
  <c r="G62" i="3"/>
  <c r="H62" i="3"/>
  <c r="E61" i="1"/>
  <c r="G22" i="2"/>
  <c r="H22" i="2" s="1"/>
  <c r="G56" i="2"/>
  <c r="H56" i="2" s="1"/>
  <c r="H63" i="2"/>
  <c r="G63" i="2"/>
  <c r="F21" i="1"/>
  <c r="G21" i="1" s="1"/>
  <c r="H21" i="1" s="1"/>
  <c r="G46" i="1"/>
  <c r="H46" i="1" s="1"/>
  <c r="G20" i="1"/>
  <c r="H20" i="1" s="1"/>
  <c r="H60" i="1"/>
  <c r="F61" i="1"/>
  <c r="H20" i="7" l="1"/>
  <c r="H62" i="7" s="1"/>
  <c r="H19" i="6"/>
  <c r="H62" i="6" s="1"/>
  <c r="H61" i="1"/>
  <c r="G6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Cida</author>
  </authors>
  <commentList>
    <comment ref="D3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Cida:</t>
        </r>
        <r>
          <rPr>
            <sz val="9"/>
            <color indexed="81"/>
            <rFont val="Tahoma"/>
            <family val="2"/>
          </rPr>
          <t xml:space="preserve">
A metragem da Epo era de 18.682 m² e foi reduzida para 13.922 m², passando 4.760 m² para o empreendimento SOL.
</t>
        </r>
        <r>
          <rPr>
            <b/>
            <sz val="9"/>
            <color indexed="81"/>
            <rFont val="Tahoma"/>
            <family val="2"/>
          </rPr>
          <t xml:space="preserve">Vanessa:
</t>
        </r>
        <r>
          <rPr>
            <sz val="9"/>
            <color indexed="81"/>
            <rFont val="Tahoma"/>
            <family val="2"/>
          </rPr>
          <t>Área da EPO reduzia. Era 9.329 m² sendo 8.673 m² da Q 29 e 656 m² do lote 15A da Q27 (Gabriella informou que esse lote é da VS - 21.07.20) - Emp Brisa e Luar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Cida</author>
  </authors>
  <commentList>
    <comment ref="D3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Cida:</t>
        </r>
        <r>
          <rPr>
            <sz val="9"/>
            <color indexed="81"/>
            <rFont val="Tahoma"/>
            <family val="2"/>
          </rPr>
          <t xml:space="preserve">
A metragem da Epo era de 18.682 m² e foi reduzida para 13.922 m², passando 4.760 m² para o empreendimento SOL.
</t>
        </r>
        <r>
          <rPr>
            <b/>
            <sz val="9"/>
            <color indexed="81"/>
            <rFont val="Tahoma"/>
            <family val="2"/>
          </rPr>
          <t xml:space="preserve">Vanessa:
</t>
        </r>
        <r>
          <rPr>
            <sz val="9"/>
            <color indexed="81"/>
            <rFont val="Tahoma"/>
            <family val="2"/>
          </rPr>
          <t>Área da EPO reduzia. Era 9.329 m² sendo 8.673 m² da Q 29 e 656 m² do lote 15A da Q27 (Gabriella informou que esse lote é da VS - 21.07.20) - Emp Brisa e Luar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Cida</author>
  </authors>
  <commentList>
    <comment ref="D3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Cida:</t>
        </r>
        <r>
          <rPr>
            <sz val="9"/>
            <color indexed="81"/>
            <rFont val="Tahoma"/>
            <family val="2"/>
          </rPr>
          <t xml:space="preserve">
A metragem da Epo era de 18.682 m² e foi reduzida para 13.922 m², passando 4.760 m² para o empreendimento SOL.
</t>
        </r>
        <r>
          <rPr>
            <b/>
            <sz val="9"/>
            <color indexed="81"/>
            <rFont val="Tahoma"/>
            <family val="2"/>
          </rPr>
          <t xml:space="preserve">Vanessa:
</t>
        </r>
        <r>
          <rPr>
            <sz val="9"/>
            <color indexed="81"/>
            <rFont val="Tahoma"/>
            <family val="2"/>
          </rPr>
          <t>Área da EPO reduzia. Era 9.329 m² sendo 8.673 m² da Q 29 e 656 m² do lote 15A da Q27 (Gabriella informou que esse lote é da VS - 21.07.20) - Emp Brisa e Luar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Cida</author>
  </authors>
  <commentList>
    <comment ref="D35" authorId="0" shapeId="0" xr:uid="{845A87FE-970A-4F8A-8464-2192B223A418}">
      <text>
        <r>
          <rPr>
            <b/>
            <sz val="9"/>
            <color indexed="81"/>
            <rFont val="Tahoma"/>
            <family val="2"/>
          </rPr>
          <t>Cida:</t>
        </r>
        <r>
          <rPr>
            <sz val="9"/>
            <color indexed="81"/>
            <rFont val="Tahoma"/>
            <family val="2"/>
          </rPr>
          <t xml:space="preserve">
A metragem da Epo era de 18.682 m² e foi reduzida para 13.922 m², passando 4.760 m² para o empreendimento SOL.
</t>
        </r>
        <r>
          <rPr>
            <b/>
            <sz val="9"/>
            <color indexed="81"/>
            <rFont val="Tahoma"/>
            <family val="2"/>
          </rPr>
          <t xml:space="preserve">Vanessa:
</t>
        </r>
        <r>
          <rPr>
            <sz val="9"/>
            <color indexed="81"/>
            <rFont val="Tahoma"/>
            <family val="2"/>
          </rPr>
          <t>Área da EPO reduzia. Era 9.329 m² sendo 8.673 m² da Q 29 e 656 m² do lote 15A da Q27 (Gabriella informou que esse lote é da VS - 21.07.20) - Emp Brisa e Luar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Cida</author>
  </authors>
  <commentList>
    <comment ref="D37" authorId="0" shapeId="0" xr:uid="{6AFE878A-4C7F-488B-B82E-B4595CB56526}">
      <text>
        <r>
          <rPr>
            <b/>
            <sz val="9"/>
            <color indexed="81"/>
            <rFont val="Tahoma"/>
            <family val="2"/>
          </rPr>
          <t>Cida:</t>
        </r>
        <r>
          <rPr>
            <sz val="9"/>
            <color indexed="81"/>
            <rFont val="Tahoma"/>
            <family val="2"/>
          </rPr>
          <t xml:space="preserve">
A metragem da Epo era de 18.682 m² e foi reduzida para 13.922 m², passando 4.760 m² para o empreendimento SOL.
</t>
        </r>
        <r>
          <rPr>
            <b/>
            <sz val="9"/>
            <color indexed="81"/>
            <rFont val="Tahoma"/>
            <family val="2"/>
          </rPr>
          <t xml:space="preserve">Vanessa:
</t>
        </r>
        <r>
          <rPr>
            <sz val="9"/>
            <color indexed="81"/>
            <rFont val="Tahoma"/>
            <family val="2"/>
          </rPr>
          <t>Área da EPO reduzia. Era 9.329 m² sendo 8.673 m² da Q 29 e 656 m² do lote 15A da Q27 (Gabriella informou que esse lote é da VS - 21.07.20) - Emp Brisa e Luar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Cida</author>
  </authors>
  <commentList>
    <comment ref="D37" authorId="0" shapeId="0" xr:uid="{855C4B6A-EEBA-4C02-AF4B-C230158FE319}">
      <text>
        <r>
          <rPr>
            <b/>
            <sz val="9"/>
            <color indexed="81"/>
            <rFont val="Tahoma"/>
            <family val="2"/>
          </rPr>
          <t>Cida:</t>
        </r>
        <r>
          <rPr>
            <sz val="9"/>
            <color indexed="81"/>
            <rFont val="Tahoma"/>
            <family val="2"/>
          </rPr>
          <t xml:space="preserve">
A metragem da Epo era de 18.682 m² e foi reduzida para 13.922 m², passando 4.760 m² para o empreendimento SOL.
</t>
        </r>
        <r>
          <rPr>
            <b/>
            <sz val="9"/>
            <color indexed="81"/>
            <rFont val="Tahoma"/>
            <family val="2"/>
          </rPr>
          <t xml:space="preserve">Vanessa:
</t>
        </r>
        <r>
          <rPr>
            <sz val="9"/>
            <color indexed="81"/>
            <rFont val="Tahoma"/>
            <family val="2"/>
          </rPr>
          <t>Área da EPO reduzia. Era 9.329 m² sendo 8.673 m² da Q 29 e 656 m² do lote 15A da Q27 (Gabriella informou que esse lote é da VS - 21.07.20) - Emp Brisa e Luar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Cida</author>
  </authors>
  <commentList>
    <comment ref="D35" authorId="0" shapeId="0" xr:uid="{641C18BB-8A6C-4483-BC72-040B93556F4A}">
      <text>
        <r>
          <rPr>
            <b/>
            <sz val="9"/>
            <color indexed="81"/>
            <rFont val="Tahoma"/>
            <family val="2"/>
          </rPr>
          <t>Cida:</t>
        </r>
        <r>
          <rPr>
            <sz val="9"/>
            <color indexed="81"/>
            <rFont val="Tahoma"/>
            <family val="2"/>
          </rPr>
          <t xml:space="preserve">
A metragem da Epo era de 18.682 m² e foi reduzida para 13.922 m², passando 4.760 m² para o empreendimento SOL.
</t>
        </r>
        <r>
          <rPr>
            <b/>
            <sz val="9"/>
            <color indexed="81"/>
            <rFont val="Tahoma"/>
            <family val="2"/>
          </rPr>
          <t xml:space="preserve">Vanessa:
</t>
        </r>
        <r>
          <rPr>
            <sz val="9"/>
            <color indexed="81"/>
            <rFont val="Tahoma"/>
            <family val="2"/>
          </rPr>
          <t>Área da EPO reduzia. Era 9.329 m² sendo 8.673 m² da Q 29 e 656 m² do lote 15A da Q27 (Gabriella informou que esse lote é da VS - 21.07.20) - Emp Brisa e Luar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Cida</author>
  </authors>
  <commentList>
    <comment ref="D35" authorId="0" shapeId="0" xr:uid="{8734CDE6-937A-433B-AE44-00C111A62D61}">
      <text>
        <r>
          <rPr>
            <b/>
            <sz val="9"/>
            <color indexed="81"/>
            <rFont val="Tahoma"/>
            <family val="2"/>
          </rPr>
          <t>Cida:</t>
        </r>
        <r>
          <rPr>
            <sz val="9"/>
            <color indexed="81"/>
            <rFont val="Tahoma"/>
            <family val="2"/>
          </rPr>
          <t xml:space="preserve">
A metragem da Epo era de 18.682 m² e foi reduzida para 13.922 m², passando 4.760 m² para o empreendimento SOL.
</t>
        </r>
        <r>
          <rPr>
            <b/>
            <sz val="9"/>
            <color indexed="81"/>
            <rFont val="Tahoma"/>
            <family val="2"/>
          </rPr>
          <t xml:space="preserve">Vanessa:
</t>
        </r>
        <r>
          <rPr>
            <sz val="9"/>
            <color indexed="81"/>
            <rFont val="Tahoma"/>
            <family val="2"/>
          </rPr>
          <t>Área da EPO reduzia. Era 9.329 m² sendo 8.673 m² da Q 29 e 656 m² do lote 15A da Q27 (Gabriella informou que esse lote é da VS - 21.07.20) - Emp Brisa e Luar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Cida</author>
  </authors>
  <commentList>
    <comment ref="D35" authorId="0" shapeId="0" xr:uid="{6FEEB983-A82E-4678-9BEE-A5D0FB6D2410}">
      <text>
        <r>
          <rPr>
            <b/>
            <sz val="9"/>
            <color indexed="81"/>
            <rFont val="Tahoma"/>
            <family val="2"/>
          </rPr>
          <t>Cida:</t>
        </r>
        <r>
          <rPr>
            <sz val="9"/>
            <color indexed="81"/>
            <rFont val="Tahoma"/>
            <family val="2"/>
          </rPr>
          <t xml:space="preserve">
A metragem da Epo era de 18.682 m² e foi reduzida para 13.922 m², passando 4.760 m² para o empreendimento SOL.
</t>
        </r>
        <r>
          <rPr>
            <b/>
            <sz val="9"/>
            <color indexed="81"/>
            <rFont val="Tahoma"/>
            <family val="2"/>
          </rPr>
          <t xml:space="preserve">Vanessa:
</t>
        </r>
        <r>
          <rPr>
            <sz val="9"/>
            <color indexed="81"/>
            <rFont val="Tahoma"/>
            <family val="2"/>
          </rPr>
          <t>Área da EPO reduzia. Era 9.329 m² sendo 8.673 m² da Q 29 e 656 m² do lote 15A da Q27 (Gabriella informou que esse lote é da VS - 21.07.20) - Emp Brisa e Luar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Cida</author>
  </authors>
  <commentList>
    <comment ref="D35" authorId="0" shapeId="0" xr:uid="{8F1EDE37-8BFF-4BF6-A985-8D81BD2CB660}">
      <text>
        <r>
          <rPr>
            <b/>
            <sz val="9"/>
            <color indexed="81"/>
            <rFont val="Tahoma"/>
            <family val="2"/>
          </rPr>
          <t>Cida:</t>
        </r>
        <r>
          <rPr>
            <sz val="9"/>
            <color indexed="81"/>
            <rFont val="Tahoma"/>
            <family val="2"/>
          </rPr>
          <t xml:space="preserve">
A metragem da Epo era de 18.682 m² e foi reduzida para 13.922 m², passando 4.760 m² para o empreendimento SOL.
</t>
        </r>
        <r>
          <rPr>
            <b/>
            <sz val="9"/>
            <color indexed="81"/>
            <rFont val="Tahoma"/>
            <family val="2"/>
          </rPr>
          <t xml:space="preserve">Vanessa:
</t>
        </r>
        <r>
          <rPr>
            <sz val="9"/>
            <color indexed="81"/>
            <rFont val="Tahoma"/>
            <family val="2"/>
          </rPr>
          <t>Área da EPO reduzia. Era 9.329 m² sendo 8.673 m² da Q 29 e 656 m² do lote 15A da Q27 (Gabriella informou que esse lote é da VS - 21.07.20) - Emp Brisa e Luar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Cida</author>
  </authors>
  <commentList>
    <comment ref="D35" authorId="0" shapeId="0" xr:uid="{590C1100-9547-4D36-9907-A0D173E4CDA5}">
      <text>
        <r>
          <rPr>
            <b/>
            <sz val="9"/>
            <color indexed="81"/>
            <rFont val="Tahoma"/>
            <family val="2"/>
          </rPr>
          <t>Cida:</t>
        </r>
        <r>
          <rPr>
            <sz val="9"/>
            <color indexed="81"/>
            <rFont val="Tahoma"/>
            <family val="2"/>
          </rPr>
          <t xml:space="preserve">
A metragem da Epo era de 18.682 m² e foi reduzida para 13.922 m², passando 4.760 m² para o empreendimento SOL.
</t>
        </r>
        <r>
          <rPr>
            <b/>
            <sz val="9"/>
            <color indexed="81"/>
            <rFont val="Tahoma"/>
            <family val="2"/>
          </rPr>
          <t xml:space="preserve">Vanessa:
</t>
        </r>
        <r>
          <rPr>
            <sz val="9"/>
            <color indexed="81"/>
            <rFont val="Tahoma"/>
            <family val="2"/>
          </rPr>
          <t>Área da EPO reduzia. Era 9.329 m² sendo 8.673 m² da Q 29 e 656 m² do lote 15A da Q27 (Gabriella informou que esse lote é da VS - 21.07.20) - Emp Brisa e Luar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Cida</author>
  </authors>
  <commentList>
    <comment ref="D35" authorId="0" shapeId="0" xr:uid="{E6220502-7CF7-44A3-B876-A433D14760C9}">
      <text>
        <r>
          <rPr>
            <b/>
            <sz val="9"/>
            <color indexed="81"/>
            <rFont val="Tahoma"/>
            <family val="2"/>
          </rPr>
          <t>Cida:</t>
        </r>
        <r>
          <rPr>
            <sz val="9"/>
            <color indexed="81"/>
            <rFont val="Tahoma"/>
            <family val="2"/>
          </rPr>
          <t xml:space="preserve">
A metragem da Epo era de 18.682 m² e foi reduzida para 13.922 m², passando 4.760 m² para o empreendimento SOL.
</t>
        </r>
        <r>
          <rPr>
            <b/>
            <sz val="9"/>
            <color indexed="81"/>
            <rFont val="Tahoma"/>
            <family val="2"/>
          </rPr>
          <t xml:space="preserve">Vanessa:
</t>
        </r>
        <r>
          <rPr>
            <sz val="9"/>
            <color indexed="81"/>
            <rFont val="Tahoma"/>
            <family val="2"/>
          </rPr>
          <t>Área da EPO reduzia. Era 9.329 m² sendo 8.673 m² da Q 29 e 656 m² do lote 15A da Q27 (Gabriella informou que esse lote é da VS - 21.07.20) - Emp Brisa e Luar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Cida</author>
  </authors>
  <commentList>
    <comment ref="D39" authorId="0" shapeId="0" xr:uid="{849CD005-038E-4512-AA68-423E06973737}">
      <text>
        <r>
          <rPr>
            <b/>
            <sz val="9"/>
            <color indexed="81"/>
            <rFont val="Tahoma"/>
            <family val="2"/>
          </rPr>
          <t>Cida:</t>
        </r>
        <r>
          <rPr>
            <sz val="9"/>
            <color indexed="81"/>
            <rFont val="Tahoma"/>
            <family val="2"/>
          </rPr>
          <t xml:space="preserve">
A metragem da Epo era de 18.682 m² e foi reduzida para 13.922 m², passando 4.760 m² para o empreendimento SOL.
</t>
        </r>
        <r>
          <rPr>
            <b/>
            <sz val="9"/>
            <color indexed="81"/>
            <rFont val="Tahoma"/>
            <family val="2"/>
          </rPr>
          <t xml:space="preserve">Vanessa:
</t>
        </r>
        <r>
          <rPr>
            <sz val="9"/>
            <color indexed="81"/>
            <rFont val="Tahoma"/>
            <family val="2"/>
          </rPr>
          <t>Área da EPO reduzia. Era 9.329 m² sendo 8.673 m² da Q 29 e 656 m² do lote 15A da Q27 (Gabriella informou que esse lote é da VS - 21.07.20) - Emp Brisa e Luar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Cida</author>
  </authors>
  <commentList>
    <comment ref="D39" authorId="0" shapeId="0" xr:uid="{248F3F23-D466-4CAF-B30C-A74ABCCEEB42}">
      <text>
        <r>
          <rPr>
            <b/>
            <sz val="9"/>
            <color indexed="81"/>
            <rFont val="Tahoma"/>
            <family val="2"/>
          </rPr>
          <t>Cida:</t>
        </r>
        <r>
          <rPr>
            <sz val="9"/>
            <color indexed="81"/>
            <rFont val="Tahoma"/>
            <family val="2"/>
          </rPr>
          <t xml:space="preserve">
A metragem da Epo era de 18.682 m² e foi reduzida para 13.922 m², passando 4.760 m² para o empreendimento SOL.
</t>
        </r>
        <r>
          <rPr>
            <b/>
            <sz val="9"/>
            <color indexed="81"/>
            <rFont val="Tahoma"/>
            <family val="2"/>
          </rPr>
          <t xml:space="preserve">Vanessa:
</t>
        </r>
        <r>
          <rPr>
            <sz val="9"/>
            <color indexed="81"/>
            <rFont val="Tahoma"/>
            <family val="2"/>
          </rPr>
          <t>Área da EPO reduzia. Era 9.329 m² sendo 8.673 m² da Q 29 e 656 m² do lote 15A da Q27 (Gabriella informou que esse lote é da VS - 21.07.20) - Emp Brisa e Luar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Cida</author>
  </authors>
  <commentList>
    <comment ref="D34" authorId="0" shapeId="0" xr:uid="{C56EAC2E-5679-4AD3-868A-9B38A3328822}">
      <text>
        <r>
          <rPr>
            <b/>
            <sz val="9"/>
            <color indexed="81"/>
            <rFont val="Tahoma"/>
            <family val="2"/>
          </rPr>
          <t>Cida:</t>
        </r>
        <r>
          <rPr>
            <sz val="9"/>
            <color indexed="81"/>
            <rFont val="Tahoma"/>
            <family val="2"/>
          </rPr>
          <t xml:space="preserve">
A metragem da Epo era de 18.682 m² e foi reduzida para 13.922 m², passando 4.760 m² para o empreendimento SOL.
</t>
        </r>
        <r>
          <rPr>
            <b/>
            <sz val="9"/>
            <color indexed="81"/>
            <rFont val="Tahoma"/>
            <family val="2"/>
          </rPr>
          <t xml:space="preserve">Vanessa:
</t>
        </r>
        <r>
          <rPr>
            <sz val="9"/>
            <color indexed="81"/>
            <rFont val="Tahoma"/>
            <family val="2"/>
          </rPr>
          <t>Área da EPO reduzia. Era 9.329 m² sendo 8.673 m² da Q 29 e 656 m² do lote 15A da Q27 (Gabriella informou que esse lote é da VS - 21.07.20) - Emp Brisa e Luar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Cida</author>
  </authors>
  <commentList>
    <comment ref="D34" authorId="0" shapeId="0" xr:uid="{2E49BFFE-5CA8-49F5-8C2C-F86B7DDF1D1A}">
      <text>
        <r>
          <rPr>
            <b/>
            <sz val="9"/>
            <color indexed="81"/>
            <rFont val="Tahoma"/>
            <family val="2"/>
          </rPr>
          <t>Cida:</t>
        </r>
        <r>
          <rPr>
            <sz val="9"/>
            <color indexed="81"/>
            <rFont val="Tahoma"/>
            <family val="2"/>
          </rPr>
          <t xml:space="preserve">
A metragem da Epo era de 18.682 m² e foi reduzida para 13.922 m², passando 4.760 m² para o empreendimento SOL.
</t>
        </r>
        <r>
          <rPr>
            <b/>
            <sz val="9"/>
            <color indexed="81"/>
            <rFont val="Tahoma"/>
            <family val="2"/>
          </rPr>
          <t xml:space="preserve">Vanessa:
</t>
        </r>
        <r>
          <rPr>
            <sz val="9"/>
            <color indexed="81"/>
            <rFont val="Tahoma"/>
            <family val="2"/>
          </rPr>
          <t>Área da EPO reduzia. Era 9.329 m² sendo 8.673 m² da Q 29 e 656 m² do lote 15A da Q27 (Gabriella informou que esse lote é da VS - 21.07.20) - Emp Brisa e Luar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Cida</author>
  </authors>
  <commentList>
    <comment ref="D40" authorId="0" shapeId="0" xr:uid="{26FA59E8-B3F7-4C55-9650-84D8DD0AC8D4}">
      <text>
        <r>
          <rPr>
            <b/>
            <sz val="9"/>
            <color indexed="81"/>
            <rFont val="Tahoma"/>
            <family val="2"/>
          </rPr>
          <t>Cida:</t>
        </r>
        <r>
          <rPr>
            <sz val="9"/>
            <color indexed="81"/>
            <rFont val="Tahoma"/>
            <family val="2"/>
          </rPr>
          <t xml:space="preserve">
A metragem da Epo era de 18.682 m² e foi reduzida para 13.922 m², passando 4.760 m² para o empreendimento SOL.
</t>
        </r>
        <r>
          <rPr>
            <b/>
            <sz val="9"/>
            <color indexed="81"/>
            <rFont val="Tahoma"/>
            <family val="2"/>
          </rPr>
          <t xml:space="preserve">Vanessa:
</t>
        </r>
        <r>
          <rPr>
            <sz val="9"/>
            <color indexed="81"/>
            <rFont val="Tahoma"/>
            <family val="2"/>
          </rPr>
          <t>Área da EPO reduzia. Era 9.329 m² sendo 8.673 m² da Q 29 e 656 m² do lote 15A da Q27 (Gabriella informou que esse lote é da VS - 21.07.20) - Emp Brisa e Luar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Cida</author>
  </authors>
  <commentList>
    <comment ref="D40" authorId="0" shapeId="0" xr:uid="{D29451DB-5EC5-44CC-B33B-7962C9194E92}">
      <text>
        <r>
          <rPr>
            <b/>
            <sz val="9"/>
            <color indexed="81"/>
            <rFont val="Tahoma"/>
            <family val="2"/>
          </rPr>
          <t>Cida:</t>
        </r>
        <r>
          <rPr>
            <sz val="9"/>
            <color indexed="81"/>
            <rFont val="Tahoma"/>
            <family val="2"/>
          </rPr>
          <t xml:space="preserve">
A metragem da Epo era de 18.682 m² e foi reduzida para 13.922 m², passando 4.760 m² para o empreendimento SOL.
</t>
        </r>
        <r>
          <rPr>
            <b/>
            <sz val="9"/>
            <color indexed="81"/>
            <rFont val="Tahoma"/>
            <family val="2"/>
          </rPr>
          <t xml:space="preserve">Vanessa:
</t>
        </r>
        <r>
          <rPr>
            <sz val="9"/>
            <color indexed="81"/>
            <rFont val="Tahoma"/>
            <family val="2"/>
          </rPr>
          <t>Área da EPO reduzia. Era 9.329 m² sendo 8.673 m² da Q 29 e 656 m² do lote 15A da Q27 (Gabriella informou que esse lote é da VS - 21.07.20) - Emp Brisa e Luar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Cida</author>
  </authors>
  <commentList>
    <comment ref="D37" authorId="0" shapeId="0" xr:uid="{54CD0F3F-3948-4EA7-8F87-6C054CC7C4EE}">
      <text>
        <r>
          <rPr>
            <b/>
            <sz val="9"/>
            <color indexed="81"/>
            <rFont val="Tahoma"/>
            <family val="2"/>
          </rPr>
          <t>Cida:</t>
        </r>
        <r>
          <rPr>
            <sz val="9"/>
            <color indexed="81"/>
            <rFont val="Tahoma"/>
            <family val="2"/>
          </rPr>
          <t xml:space="preserve">
A metragem da Epo era de 18.682 m² e foi reduzida para 13.922 m², passando 4.760 m² para o empreendimento SOL.
</t>
        </r>
        <r>
          <rPr>
            <b/>
            <sz val="9"/>
            <color indexed="81"/>
            <rFont val="Tahoma"/>
            <family val="2"/>
          </rPr>
          <t xml:space="preserve">Vanessa:
</t>
        </r>
        <r>
          <rPr>
            <sz val="9"/>
            <color indexed="81"/>
            <rFont val="Tahoma"/>
            <family val="2"/>
          </rPr>
          <t>Área da EPO reduzia. Era 9.329 m² sendo 8.673 m² da Q 29 e 656 m² do lote 15A da Q27 (Gabriella informou que esse lote é da VS - 21.07.20) - Emp Brisa e Luar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Cida</author>
  </authors>
  <commentList>
    <comment ref="D37" authorId="0" shapeId="0" xr:uid="{11754346-CD69-4AF4-BA90-F2639122CB5B}">
      <text>
        <r>
          <rPr>
            <b/>
            <sz val="9"/>
            <color indexed="81"/>
            <rFont val="Tahoma"/>
            <family val="2"/>
          </rPr>
          <t>Cida:</t>
        </r>
        <r>
          <rPr>
            <sz val="9"/>
            <color indexed="81"/>
            <rFont val="Tahoma"/>
            <family val="2"/>
          </rPr>
          <t xml:space="preserve">
A metragem da Epo era de 18.682 m² e foi reduzida para 13.922 m², passando 4.760 m² para o empreendimento SOL.
</t>
        </r>
        <r>
          <rPr>
            <b/>
            <sz val="9"/>
            <color indexed="81"/>
            <rFont val="Tahoma"/>
            <family val="2"/>
          </rPr>
          <t xml:space="preserve">Vanessa:
</t>
        </r>
        <r>
          <rPr>
            <sz val="9"/>
            <color indexed="81"/>
            <rFont val="Tahoma"/>
            <family val="2"/>
          </rPr>
          <t>Área da EPO reduzia. Era 9.329 m² sendo 8.673 m² da Q 29 e 656 m² do lote 15A da Q27 (Gabriella informou que esse lote é da VS - 21.07.20) - Emp Brisa e Luar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Cida</author>
  </authors>
  <commentList>
    <comment ref="D37" authorId="0" shapeId="0" xr:uid="{7F30CCC7-005A-4883-A99C-B1A5D803965F}">
      <text>
        <r>
          <rPr>
            <b/>
            <sz val="9"/>
            <color indexed="81"/>
            <rFont val="Tahoma"/>
            <family val="2"/>
          </rPr>
          <t>Cida:</t>
        </r>
        <r>
          <rPr>
            <sz val="9"/>
            <color indexed="81"/>
            <rFont val="Tahoma"/>
            <family val="2"/>
          </rPr>
          <t xml:space="preserve">
A metragem da Epo era de 18.682 m² e foi reduzida para 13.922 m², passando 4.760 m² para o empreendimento SOL.
</t>
        </r>
        <r>
          <rPr>
            <b/>
            <sz val="9"/>
            <color indexed="81"/>
            <rFont val="Tahoma"/>
            <family val="2"/>
          </rPr>
          <t xml:space="preserve">Vanessa:
</t>
        </r>
        <r>
          <rPr>
            <sz val="9"/>
            <color indexed="81"/>
            <rFont val="Tahoma"/>
            <family val="2"/>
          </rPr>
          <t>Área da EPO reduzia. Era 9.329 m² sendo 8.673 m² da Q 29 e 656 m² do lote 15A da Q27 (Gabriella informou que esse lote é da VS - 21.07.20) - Emp Brisa e Luar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Cida</author>
  </authors>
  <commentList>
    <comment ref="D37" authorId="0" shapeId="0" xr:uid="{AD440B5E-56D7-429C-8A8C-15AC1FE6B0BE}">
      <text>
        <r>
          <rPr>
            <b/>
            <sz val="9"/>
            <color indexed="81"/>
            <rFont val="Tahoma"/>
            <family val="2"/>
          </rPr>
          <t>Cida:</t>
        </r>
        <r>
          <rPr>
            <sz val="9"/>
            <color indexed="81"/>
            <rFont val="Tahoma"/>
            <family val="2"/>
          </rPr>
          <t xml:space="preserve">
A metragem da Epo era de 18.682 m² e foi reduzida para 13.922 m², passando 4.760 m² para o empreendimento SOL.
</t>
        </r>
        <r>
          <rPr>
            <b/>
            <sz val="9"/>
            <color indexed="81"/>
            <rFont val="Tahoma"/>
            <family val="2"/>
          </rPr>
          <t xml:space="preserve">Vanessa:
</t>
        </r>
        <r>
          <rPr>
            <sz val="9"/>
            <color indexed="81"/>
            <rFont val="Tahoma"/>
            <family val="2"/>
          </rPr>
          <t>Área da EPO reduzia. Era 9.329 m² sendo 8.673 m² da Q 29 e 656 m² do lote 15A da Q27 (Gabriella informou que esse lote é da VS - 21.07.20) - Emp Brisa e Luar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Cida</author>
  </authors>
  <commentList>
    <comment ref="D41" authorId="0" shapeId="0" xr:uid="{540C6F35-9D90-4196-ADDD-FDC45588B5F4}">
      <text>
        <r>
          <rPr>
            <b/>
            <sz val="9"/>
            <color indexed="81"/>
            <rFont val="Tahoma"/>
            <family val="2"/>
          </rPr>
          <t>Cida:</t>
        </r>
        <r>
          <rPr>
            <sz val="9"/>
            <color indexed="81"/>
            <rFont val="Tahoma"/>
            <family val="2"/>
          </rPr>
          <t xml:space="preserve">
A metragem da Epo era de 18.682 m² e foi reduzida para 13.922 m², passando 4.760 m² para o empreendimento SOL.
</t>
        </r>
        <r>
          <rPr>
            <b/>
            <sz val="9"/>
            <color indexed="81"/>
            <rFont val="Tahoma"/>
            <family val="2"/>
          </rPr>
          <t xml:space="preserve">Vanessa:
</t>
        </r>
        <r>
          <rPr>
            <sz val="9"/>
            <color indexed="81"/>
            <rFont val="Tahoma"/>
            <family val="2"/>
          </rPr>
          <t>Área da EPO reduzia. Era 9.329 m² sendo 8.673 m² da Q 29 e 656 m² do lote 15A da Q27 (Gabriella informou que esse lote é da VS - 21.07.20) - Emp Brisa e Luar</t>
        </r>
      </text>
    </comment>
    <comment ref="D42" authorId="0" shapeId="0" xr:uid="{C8D26EEC-D082-4555-A1BE-4F96DA387774}">
      <text>
        <r>
          <rPr>
            <b/>
            <sz val="9"/>
            <color indexed="81"/>
            <rFont val="Tahoma"/>
            <family val="2"/>
          </rPr>
          <t>Cida:</t>
        </r>
        <r>
          <rPr>
            <sz val="9"/>
            <color indexed="81"/>
            <rFont val="Tahoma"/>
            <family val="2"/>
          </rPr>
          <t xml:space="preserve">
A metragem da Epo era de 18.682 m² e foi reduzida para 13.922 m², passando 4.760 m² para o empreendimento SOL.
</t>
        </r>
        <r>
          <rPr>
            <b/>
            <sz val="9"/>
            <color indexed="81"/>
            <rFont val="Tahoma"/>
            <family val="2"/>
          </rPr>
          <t xml:space="preserve">Vanessa:
</t>
        </r>
        <r>
          <rPr>
            <sz val="9"/>
            <color indexed="81"/>
            <rFont val="Tahoma"/>
            <family val="2"/>
          </rPr>
          <t>Área da EPO reduzia. Era 9.329 m² sendo 8.673 m² da Q 29 e 656 m² do lote 15A da Q27 (Gabriella informou que esse lote é da VS - 21.07.20) - Emp Brisa e Luar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Cida</author>
  </authors>
  <commentList>
    <comment ref="D41" authorId="0" shapeId="0" xr:uid="{022174DF-D36B-43DD-801D-23B7CADA4C33}">
      <text>
        <r>
          <rPr>
            <b/>
            <sz val="9"/>
            <color indexed="81"/>
            <rFont val="Tahoma"/>
            <family val="2"/>
          </rPr>
          <t>Cida:</t>
        </r>
        <r>
          <rPr>
            <sz val="9"/>
            <color indexed="81"/>
            <rFont val="Tahoma"/>
            <family val="2"/>
          </rPr>
          <t xml:space="preserve">
A metragem da Epo era de 18.682 m² e foi reduzida para 13.922 m², passando 4.760 m² para o empreendimento SOL.
</t>
        </r>
        <r>
          <rPr>
            <b/>
            <sz val="9"/>
            <color indexed="81"/>
            <rFont val="Tahoma"/>
            <family val="2"/>
          </rPr>
          <t xml:space="preserve">Vanessa:
</t>
        </r>
        <r>
          <rPr>
            <sz val="9"/>
            <color indexed="81"/>
            <rFont val="Tahoma"/>
            <family val="2"/>
          </rPr>
          <t>Área da EPO reduzia. Era 9.329 m² sendo 8.673 m² da Q 29 e 656 m² do lote 15A da Q27 (Gabriella informou que esse lote é da VS - 21.07.20) - Emp Brisa e Luar</t>
        </r>
      </text>
    </comment>
    <comment ref="D42" authorId="0" shapeId="0" xr:uid="{C54E3E5E-5AC4-43C3-B51C-3C258BA14568}">
      <text>
        <r>
          <rPr>
            <b/>
            <sz val="9"/>
            <color indexed="81"/>
            <rFont val="Tahoma"/>
            <family val="2"/>
          </rPr>
          <t>Cida:</t>
        </r>
        <r>
          <rPr>
            <sz val="9"/>
            <color indexed="81"/>
            <rFont val="Tahoma"/>
            <family val="2"/>
          </rPr>
          <t xml:space="preserve">
A metragem da Epo era de 18.682 m² e foi reduzida para 13.922 m², passando 4.760 m² para o empreendimento SOL.
</t>
        </r>
        <r>
          <rPr>
            <b/>
            <sz val="9"/>
            <color indexed="81"/>
            <rFont val="Tahoma"/>
            <family val="2"/>
          </rPr>
          <t xml:space="preserve">Vanessa:
</t>
        </r>
        <r>
          <rPr>
            <sz val="9"/>
            <color indexed="81"/>
            <rFont val="Tahoma"/>
            <family val="2"/>
          </rPr>
          <t>Área da EPO reduzia. Era 9.329 m² sendo 8.673 m² da Q 29 e 656 m² do lote 15A da Q27 (Gabriella informou que esse lote é da VS - 21.07.20) - Emp Brisa e Luar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Cida</author>
  </authors>
  <commentList>
    <comment ref="D39" authorId="0" shapeId="0" xr:uid="{882C05A6-8292-4D88-AFC6-87683289F7BF}">
      <text>
        <r>
          <rPr>
            <b/>
            <sz val="9"/>
            <color indexed="81"/>
            <rFont val="Tahoma"/>
            <family val="2"/>
          </rPr>
          <t>Cida:</t>
        </r>
        <r>
          <rPr>
            <sz val="9"/>
            <color indexed="81"/>
            <rFont val="Tahoma"/>
            <family val="2"/>
          </rPr>
          <t xml:space="preserve">
A metragem da Epo era de 18.682 m² e foi reduzida para 13.922 m², passando 4.760 m² para o empreendimento SOL.
</t>
        </r>
        <r>
          <rPr>
            <b/>
            <sz val="9"/>
            <color indexed="81"/>
            <rFont val="Tahoma"/>
            <family val="2"/>
          </rPr>
          <t xml:space="preserve">Vanessa:
</t>
        </r>
        <r>
          <rPr>
            <sz val="9"/>
            <color indexed="81"/>
            <rFont val="Tahoma"/>
            <family val="2"/>
          </rPr>
          <t>Área da EPO reduzia. Era 9.329 m² sendo 8.673 m² da Q 29 e 656 m² do lote 15A da Q27 (Gabriella informou que esse lote é da VS - 21.07.20) - Emp Brisa e Luar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Cida</author>
  </authors>
  <commentList>
    <comment ref="D35" authorId="0" shapeId="0" xr:uid="{CC88CEB0-03A8-4CBB-8651-1A3A525E85F4}">
      <text>
        <r>
          <rPr>
            <b/>
            <sz val="9"/>
            <color indexed="81"/>
            <rFont val="Tahoma"/>
            <family val="2"/>
          </rPr>
          <t>Cida:</t>
        </r>
        <r>
          <rPr>
            <sz val="9"/>
            <color indexed="81"/>
            <rFont val="Tahoma"/>
            <family val="2"/>
          </rPr>
          <t xml:space="preserve">
A metragem da Epo era de 18.682 m² e foi reduzida para 13.922 m², passando 4.760 m² para o empreendimento SOL.
</t>
        </r>
        <r>
          <rPr>
            <b/>
            <sz val="9"/>
            <color indexed="81"/>
            <rFont val="Tahoma"/>
            <family val="2"/>
          </rPr>
          <t xml:space="preserve">Vanessa:
</t>
        </r>
        <r>
          <rPr>
            <sz val="9"/>
            <color indexed="81"/>
            <rFont val="Tahoma"/>
            <family val="2"/>
          </rPr>
          <t>Área da EPO reduzia. Era 9.329 m² sendo 8.673 m² da Q 29 e 656 m² do lote 15A da Q27 (Gabriella informou que esse lote é da VS - 21.07.20) - Emp Brisa e Luar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Cida</author>
  </authors>
  <commentList>
    <comment ref="D35" authorId="0" shapeId="0" xr:uid="{2E291474-6E81-483E-A3BC-EA793A81B919}">
      <text>
        <r>
          <rPr>
            <b/>
            <sz val="9"/>
            <color indexed="81"/>
            <rFont val="Tahoma"/>
            <family val="2"/>
          </rPr>
          <t>Cida:</t>
        </r>
        <r>
          <rPr>
            <sz val="9"/>
            <color indexed="81"/>
            <rFont val="Tahoma"/>
            <family val="2"/>
          </rPr>
          <t xml:space="preserve">
A metragem da Epo era de 18.682 m² e foi reduzida para 13.922 m², passando 4.760 m² para o empreendimento SOL.
</t>
        </r>
        <r>
          <rPr>
            <b/>
            <sz val="9"/>
            <color indexed="81"/>
            <rFont val="Tahoma"/>
            <family val="2"/>
          </rPr>
          <t xml:space="preserve">Vanessa:
</t>
        </r>
        <r>
          <rPr>
            <sz val="9"/>
            <color indexed="81"/>
            <rFont val="Tahoma"/>
            <family val="2"/>
          </rPr>
          <t>Área da EPO reduzia. Era 9.329 m² sendo 8.673 m² da Q 29 e 656 m² do lote 15A da Q27 (Gabriella informou que esse lote é da VS - 21.07.20) - Emp Brisa e Luar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Cida</author>
  </authors>
  <commentList>
    <comment ref="D3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Cida:</t>
        </r>
        <r>
          <rPr>
            <sz val="9"/>
            <color indexed="81"/>
            <rFont val="Tahoma"/>
            <family val="2"/>
          </rPr>
          <t xml:space="preserve">
A metragem da Epo era de 18.682 m² e foi reduzida para 13.922 m², passando 4.760 m² para o empreendimento SOL.
</t>
        </r>
        <r>
          <rPr>
            <b/>
            <sz val="9"/>
            <color indexed="81"/>
            <rFont val="Tahoma"/>
            <family val="2"/>
          </rPr>
          <t xml:space="preserve">Vanessa:
</t>
        </r>
        <r>
          <rPr>
            <sz val="9"/>
            <color indexed="81"/>
            <rFont val="Tahoma"/>
            <family val="2"/>
          </rPr>
          <t>Área da EPO reduzia. Era 9.329 m² sendo 8.673 m² da Q 29 e 656 m² do lote 15A da Q27 (Gabriella informou que esse lote é da VS - 21.07.20) - Emp Brisa e Luar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Cida</author>
  </authors>
  <commentList>
    <comment ref="D3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Cida:</t>
        </r>
        <r>
          <rPr>
            <sz val="9"/>
            <color indexed="81"/>
            <rFont val="Tahoma"/>
            <family val="2"/>
          </rPr>
          <t xml:space="preserve">
A metragem da Epo era de 18.682 m² e foi reduzida para 13.922 m², passando 4.760 m² para o empreendimento SOL.
</t>
        </r>
        <r>
          <rPr>
            <b/>
            <sz val="9"/>
            <color indexed="81"/>
            <rFont val="Tahoma"/>
            <family val="2"/>
          </rPr>
          <t xml:space="preserve">Vanessa:
</t>
        </r>
        <r>
          <rPr>
            <sz val="9"/>
            <color indexed="81"/>
            <rFont val="Tahoma"/>
            <family val="2"/>
          </rPr>
          <t>Área da EPO reduzia. Era 9.329 m² sendo 8.673 m² da Q 29 e 656 m² do lote 15A da Q27 (Gabriella informou que esse lote é da VS - 21.07.20) - Emp Brisa e Luar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Cida</author>
  </authors>
  <commentList>
    <comment ref="D38" authorId="0" shapeId="0" xr:uid="{AC6E3831-89BF-4CE5-8593-B830F5BC6299}">
      <text>
        <r>
          <rPr>
            <b/>
            <sz val="9"/>
            <color indexed="81"/>
            <rFont val="Tahoma"/>
            <family val="2"/>
          </rPr>
          <t>Cida:</t>
        </r>
        <r>
          <rPr>
            <sz val="9"/>
            <color indexed="81"/>
            <rFont val="Tahoma"/>
            <family val="2"/>
          </rPr>
          <t xml:space="preserve">
A metragem da Epo era de 18.682 m² e foi reduzida para 13.922 m², passando 4.760 m² para o empreendimento SOL.
</t>
        </r>
        <r>
          <rPr>
            <b/>
            <sz val="9"/>
            <color indexed="81"/>
            <rFont val="Tahoma"/>
            <family val="2"/>
          </rPr>
          <t xml:space="preserve">Vanessa:
</t>
        </r>
        <r>
          <rPr>
            <sz val="9"/>
            <color indexed="81"/>
            <rFont val="Tahoma"/>
            <family val="2"/>
          </rPr>
          <t>Área da EPO reduzia. Era 9.329 m² sendo 8.673 m² da Q 29 e 656 m² do lote 15A da Q27 (Gabriella informou que esse lote é da VS - 21.07.20) - Emp Brisa e Luar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Cida</author>
  </authors>
  <commentList>
    <comment ref="D39" authorId="0" shapeId="0" xr:uid="{C993DF82-F6B6-4B82-8A09-E46AFF5D3EEA}">
      <text>
        <r>
          <rPr>
            <b/>
            <sz val="9"/>
            <color indexed="81"/>
            <rFont val="Tahoma"/>
            <family val="2"/>
          </rPr>
          <t>Cida:</t>
        </r>
        <r>
          <rPr>
            <sz val="9"/>
            <color indexed="81"/>
            <rFont val="Tahoma"/>
            <family val="2"/>
          </rPr>
          <t xml:space="preserve">
A metragem da Epo era de 18.682 m² e foi reduzida para 13.922 m², passando 4.760 m² para o empreendimento SOL.
</t>
        </r>
        <r>
          <rPr>
            <b/>
            <sz val="9"/>
            <color indexed="81"/>
            <rFont val="Tahoma"/>
            <family val="2"/>
          </rPr>
          <t xml:space="preserve">Vanessa:
</t>
        </r>
        <r>
          <rPr>
            <sz val="9"/>
            <color indexed="81"/>
            <rFont val="Tahoma"/>
            <family val="2"/>
          </rPr>
          <t>Área da EPO reduzia. Era 9.329 m² sendo 8.673 m² da Q 29 e 656 m² do lote 15A da Q27 (Gabriella informou que esse lote é da VS - 21.07.20) - Emp Brisa e Luar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Cida</author>
  </authors>
  <commentList>
    <comment ref="E35" authorId="0" shapeId="0" xr:uid="{C722F550-B6E1-4076-B08E-AD1E289E7ADA}">
      <text>
        <r>
          <rPr>
            <b/>
            <sz val="9"/>
            <color indexed="81"/>
            <rFont val="Tahoma"/>
            <family val="2"/>
          </rPr>
          <t>Cida:</t>
        </r>
        <r>
          <rPr>
            <sz val="9"/>
            <color indexed="81"/>
            <rFont val="Tahoma"/>
            <family val="2"/>
          </rPr>
          <t xml:space="preserve">
A metragem da Epo era de 18.682 m² e foi reduzida para 13.922 m², passando 4.760 m² para o empreendimento SOL.
</t>
        </r>
        <r>
          <rPr>
            <b/>
            <sz val="9"/>
            <color indexed="81"/>
            <rFont val="Tahoma"/>
            <family val="2"/>
          </rPr>
          <t xml:space="preserve">Vanessa:
</t>
        </r>
        <r>
          <rPr>
            <sz val="9"/>
            <color indexed="81"/>
            <rFont val="Tahoma"/>
            <family val="2"/>
          </rPr>
          <t>Área da EPO reduzia. Era 9.329 m² sendo 8.673 m² da Q 29 e 656 m² do lote 15A da Q27 (Gabriella informou que esse lote é da VS - 21.07.20) - Emp Brisa e Luar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Cida</author>
  </authors>
  <commentList>
    <comment ref="D40" authorId="0" shapeId="0" xr:uid="{2E69616A-8EFF-4124-8D02-C092EBC2BADA}">
      <text>
        <r>
          <rPr>
            <b/>
            <sz val="9"/>
            <color indexed="81"/>
            <rFont val="Tahoma"/>
            <family val="2"/>
          </rPr>
          <t>Cida:</t>
        </r>
        <r>
          <rPr>
            <sz val="9"/>
            <color indexed="81"/>
            <rFont val="Tahoma"/>
            <family val="2"/>
          </rPr>
          <t xml:space="preserve">
A metragem da Epo era de 18.682 m² e foi reduzida para 13.922 m², passando 4.760 m² para o empreendimento SOL.
</t>
        </r>
        <r>
          <rPr>
            <b/>
            <sz val="9"/>
            <color indexed="81"/>
            <rFont val="Tahoma"/>
            <family val="2"/>
          </rPr>
          <t xml:space="preserve">Vanessa:
</t>
        </r>
        <r>
          <rPr>
            <sz val="9"/>
            <color indexed="81"/>
            <rFont val="Tahoma"/>
            <family val="2"/>
          </rPr>
          <t>Área da EPO reduzia. Era 9.329 m² sendo 8.673 m² da Q 29 e 656 m² do lote 15A da Q27 (Gabriella informou que esse lote é da VS - 21.07.20) - Emp Brisa e Luar</t>
        </r>
      </text>
    </comment>
  </commentList>
</comments>
</file>

<file path=xl/sharedStrings.xml><?xml version="1.0" encoding="utf-8"?>
<sst xmlns="http://schemas.openxmlformats.org/spreadsheetml/2006/main" count="5130" uniqueCount="236">
  <si>
    <t>Despesas da Associação</t>
  </si>
  <si>
    <t>Item</t>
  </si>
  <si>
    <t>Fornecedor</t>
  </si>
  <si>
    <t>Detalhamento</t>
  </si>
  <si>
    <t>Despesas pagas em</t>
  </si>
  <si>
    <t>Valor</t>
  </si>
  <si>
    <t>Contabilidade/Administrativo</t>
  </si>
  <si>
    <t>Aluguel do escritório - ref. 08/2024 e 09/2024</t>
  </si>
  <si>
    <t>Grupo Tarefa</t>
  </si>
  <si>
    <t>Segurança</t>
  </si>
  <si>
    <t>Inove</t>
  </si>
  <si>
    <t>Manutenção das áreas do bairro</t>
  </si>
  <si>
    <t>Tarifas bancárias</t>
  </si>
  <si>
    <t>Assoc. do Vila da Serra</t>
  </si>
  <si>
    <t xml:space="preserve">Associado </t>
  </si>
  <si>
    <t>Mallard</t>
  </si>
  <si>
    <t>Assessoria jurídica</t>
  </si>
  <si>
    <t>Creare - Eduardo</t>
  </si>
  <si>
    <t>Marketing / mídias sociais</t>
  </si>
  <si>
    <t>Copasa</t>
  </si>
  <si>
    <t>Água e esgoto da guarita</t>
  </si>
  <si>
    <t>Limpeza da Guarita</t>
  </si>
  <si>
    <t>Limpeza</t>
  </si>
  <si>
    <t>Atividades de motoboy</t>
  </si>
  <si>
    <t>Gerth</t>
  </si>
  <si>
    <t>Material de limpeza</t>
  </si>
  <si>
    <t>Mercado Livre</t>
  </si>
  <si>
    <t>Compra do filtro do bebedouro do refeitório</t>
  </si>
  <si>
    <t>Compra de um refrigerador para guarita</t>
  </si>
  <si>
    <t>Persona</t>
  </si>
  <si>
    <t>Compra cesta de natal 2ª de 3 parcelas</t>
  </si>
  <si>
    <t>Total das Despesas</t>
  </si>
  <si>
    <t>Construtoras</t>
  </si>
  <si>
    <t>Associado</t>
  </si>
  <si>
    <t>CNPJ</t>
  </si>
  <si>
    <t>Área  (M²)</t>
  </si>
  <si>
    <t>Percentual (%)</t>
  </si>
  <si>
    <t xml:space="preserve">Taxa associativa - </t>
  </si>
  <si>
    <t xml:space="preserve">Fundo de reserva - </t>
  </si>
  <si>
    <t>Total</t>
  </si>
  <si>
    <t>Admotta</t>
  </si>
  <si>
    <t>CONDOMÍNIO RESIDENCIAL VARANDAS DO VALLE</t>
  </si>
  <si>
    <t>53.246.433/0001-98</t>
  </si>
  <si>
    <t>Agmar</t>
  </si>
  <si>
    <t>CONSTRUTORA AGMAR LTDA.</t>
  </si>
  <si>
    <t>Arte &amp; Simetria Q08</t>
  </si>
  <si>
    <t>CONDOMÍNIO DO EDIFÍCIO MIRÓ</t>
  </si>
  <si>
    <t>Arte &amp; Simetria Q30</t>
  </si>
  <si>
    <t>CONDOMÍNIO DO EDIFÍCIO VILARÓ</t>
  </si>
  <si>
    <t>Brasil Vougue</t>
  </si>
  <si>
    <t>CONDOMINIO DO EDIF BOSQUE DO SERENO</t>
  </si>
  <si>
    <t>Brasil Vougue Q10</t>
  </si>
  <si>
    <t>SPE BRASIL VOGUE PSAC EMPREENDIMENTOS IMOBILIARIOS LTDA</t>
  </si>
  <si>
    <t>52.015.597/0001-41</t>
  </si>
  <si>
    <t>Carbel</t>
  </si>
  <si>
    <t>BPE EMPREENDIMENTOS IMOBILIÁRIOS</t>
  </si>
  <si>
    <t>08.979.088/0001-47</t>
  </si>
  <si>
    <t>Capanema Gouvea</t>
  </si>
  <si>
    <t>CONDOMÍNIO DO ED. GAZZINELLI</t>
  </si>
  <si>
    <t>39.501.188/0001-97</t>
  </si>
  <si>
    <t>Capanema Gouvea/Sudoeste Q15</t>
  </si>
  <si>
    <t>SPE OBRA 044 SAPUCAIA LTDA</t>
  </si>
  <si>
    <t>48.271.499/0001-06</t>
  </si>
  <si>
    <t>Descrever lotes no boleto</t>
  </si>
  <si>
    <t>Lotes 2, 3, 4, 6A, 7A, 8A, 9A, 10A, 11A, 12A, 13A, 14, 15, 45, 50, 53 e 54 Q15</t>
  </si>
  <si>
    <t>Capanema Gouvea Q18</t>
  </si>
  <si>
    <t xml:space="preserve">SPE CAPANEMA VS3 LTDA </t>
  </si>
  <si>
    <t>54.208.853/0001-42</t>
  </si>
  <si>
    <t>Capanema Gouvea Q24</t>
  </si>
  <si>
    <t>SPE VS CAPANEMA LTDA</t>
  </si>
  <si>
    <t>46.934.306/0001-16</t>
  </si>
  <si>
    <t>Caparaó - Q 32</t>
  </si>
  <si>
    <t>CONSTRUTORA CAPARAÓ S/A</t>
  </si>
  <si>
    <t>Conartes - Q 26</t>
  </si>
  <si>
    <t>CONARTES - Q-26 - C.A ARTES INCORPO</t>
  </si>
  <si>
    <t>Conartes - Q 28</t>
  </si>
  <si>
    <t>CONARTES - Q-28 - ARTES INCORP IMOB</t>
  </si>
  <si>
    <t>Conartes - Q 30</t>
  </si>
  <si>
    <t>CONARTES - Q-30 - CANCADO INCOP IMO</t>
  </si>
  <si>
    <t>Conartes - Q 37</t>
  </si>
  <si>
    <t>CONARTES - Q-37 - CONARTES EDIF IMO</t>
  </si>
  <si>
    <t>EPO - Q29</t>
  </si>
  <si>
    <t>EPO EMPREEND. PARTICIPACOES E OBRAS</t>
  </si>
  <si>
    <t>07.773.547/0001-79</t>
  </si>
  <si>
    <t>EPO - Q21</t>
  </si>
  <si>
    <t>EP-I23  TORRE DA IGREJA EMPREENDIMENTO IMOBILIÁRIO LTDA</t>
  </si>
  <si>
    <t>55.574.183/0001-40</t>
  </si>
  <si>
    <t>EPO - Q37</t>
  </si>
  <si>
    <t>EP-I 19 QUADRA 37 VALE DO SERENO EMPREENDIMENTO IMOBILIÁRIO LTDA</t>
  </si>
  <si>
    <t>51.430.556/0001-59</t>
  </si>
  <si>
    <t>Fibra</t>
  </si>
  <si>
    <t>EMPREENDIMENTO SERENIDAD RESIDENCE SPE LTDA.</t>
  </si>
  <si>
    <t>Guerra Martins/Sudoeste Q35</t>
  </si>
  <si>
    <t>SERENO FLAMBOYANT EMPREENDIMENTO IMOB. SPE LTDA.</t>
  </si>
  <si>
    <t xml:space="preserve"> Lotes 11, 12, 13, 14 e 17 Q35</t>
  </si>
  <si>
    <t>JAB - Q25</t>
  </si>
  <si>
    <t>MAGNUS EMPREENDIMENTOS IMOBILIARIOS SPE LTDA.</t>
  </si>
  <si>
    <t>52.069.601/0001-54</t>
  </si>
  <si>
    <t>Katz Construções Q 25</t>
  </si>
  <si>
    <t>KATZ CONSTRUÇÕES E PARTICIPAÇÕES LTDA</t>
  </si>
  <si>
    <t>Katz Construções Q 34</t>
  </si>
  <si>
    <t>KATZ 21 EDIFICIO JACOBSEN INC. IMOB</t>
  </si>
  <si>
    <t>Katz Construções Q 33 e 34</t>
  </si>
  <si>
    <t xml:space="preserve">LCG - Q 6 </t>
  </si>
  <si>
    <t>RESIDENCIAL DOM HENRIQUE</t>
  </si>
  <si>
    <t>LCG - Q 15</t>
  </si>
  <si>
    <t>RESIDENCIAL BOULDER</t>
  </si>
  <si>
    <t xml:space="preserve">LCG - Q 15 - L 25B </t>
  </si>
  <si>
    <t>RESIDENCIAL DENVER</t>
  </si>
  <si>
    <t>LCG - Q 14</t>
  </si>
  <si>
    <t>LCG ENGENHARIA E REPRESENTAÇÕES</t>
  </si>
  <si>
    <t>26.052.100/0001-55</t>
  </si>
  <si>
    <t>M Matos</t>
  </si>
  <si>
    <t>CONSTRUTORA M MATOS LTDA</t>
  </si>
  <si>
    <t>01.681.351/0001-78</t>
  </si>
  <si>
    <t>Orpea</t>
  </si>
  <si>
    <t>PRIMO IMMO BRASIL EMPR. E PART. LTDA</t>
  </si>
  <si>
    <t>PHV - Primavera Q 20</t>
  </si>
  <si>
    <t>PHV ENGENHARIA LTDA</t>
  </si>
  <si>
    <t>02.266.792/0001-76</t>
  </si>
  <si>
    <t>PHV - Primavera Q 24</t>
  </si>
  <si>
    <t>COND. DO ED. RES. OS INCONFIDENTES</t>
  </si>
  <si>
    <t>Prisbel</t>
  </si>
  <si>
    <t>MUNIZ RABELO  CIA</t>
  </si>
  <si>
    <t>09.030.939/0001-73</t>
  </si>
  <si>
    <t>Prisma</t>
  </si>
  <si>
    <t>VALE DO SERENO EMPREEND - PRISMA</t>
  </si>
  <si>
    <t>RKM - Artecon Q 18</t>
  </si>
  <si>
    <t>RKM 04 VALE DO SERENO EMPRE. IMOB.</t>
  </si>
  <si>
    <t>Shopping Serena</t>
  </si>
  <si>
    <t>CONDOMINIO DO EDIFICIO SERENA MALL</t>
  </si>
  <si>
    <t>08.078.317/0001-52</t>
  </si>
  <si>
    <t>Soinco Q08</t>
  </si>
  <si>
    <t xml:space="preserve">SOINCO SOCIEDADE INCORPORADORA E CONSTRUTORA </t>
  </si>
  <si>
    <t>Stratus Q07</t>
  </si>
  <si>
    <t>STRATUS ENGENHARIA LTDA</t>
  </si>
  <si>
    <t>18.777.904/0001-93</t>
  </si>
  <si>
    <t>Unit</t>
  </si>
  <si>
    <t>CONDOMÍNIO DO ED. LUMIAR</t>
  </si>
  <si>
    <t>48.671.230/0001-09</t>
  </si>
  <si>
    <t>Vale do Sereno Emp</t>
  </si>
  <si>
    <t>VALE DO SERENO EMPREENDIMENTOS LTDA.</t>
  </si>
  <si>
    <t xml:space="preserve">TOTAL </t>
  </si>
  <si>
    <t>ORIENTAÇÕES PARA EMISSÃO DOS BOLETOS</t>
  </si>
  <si>
    <t>Boleto PHV Eng descrição: Primavera Mall Quadra 20</t>
  </si>
  <si>
    <t>Franenge</t>
  </si>
  <si>
    <t>FRANENGE EMPREND. E PARTICIPAÇÕES</t>
  </si>
  <si>
    <t>PSAC</t>
  </si>
  <si>
    <t>SPE VALE DO SERENO EMPREENDIMENTOS IMOBILIÁRIOS LTDA</t>
  </si>
  <si>
    <t>Rap10</t>
  </si>
  <si>
    <t>Internet</t>
  </si>
  <si>
    <t>Material de jardim</t>
  </si>
  <si>
    <t>Compra cesta de natal 3ª de 3 parcelas</t>
  </si>
  <si>
    <t>CONDOMINIO DO EDIFICIO CONARTES TOWER</t>
  </si>
  <si>
    <t>51.493.444/0001-47</t>
  </si>
  <si>
    <t>EP-I23 TORRE DA IGREJA EMPREENDIMENTO IMOBILIÁRIO LTDA</t>
  </si>
  <si>
    <t>Inove - Díssidio</t>
  </si>
  <si>
    <t>Cida Cardoso</t>
  </si>
  <si>
    <t>Reembolso de combustível</t>
  </si>
  <si>
    <t>Correios</t>
  </si>
  <si>
    <t>Envio de convocação de assembleia</t>
  </si>
  <si>
    <t>Bernoulli</t>
  </si>
  <si>
    <t>PATRIMONIAL F2R ADMINISTRAÇÃO IMOBILIÁRIA LTDA</t>
  </si>
  <si>
    <t>32.698.195/0001-81</t>
  </si>
  <si>
    <t>Rogério Ribeiro</t>
  </si>
  <si>
    <t>Compra de material para manutenção</t>
  </si>
  <si>
    <t>Reembolso pgto almoço com diretora da regional norte da PMNL</t>
  </si>
  <si>
    <t>CONDOMÍNIO DO EDIFÍCIO VENTURA</t>
  </si>
  <si>
    <t>52.964.170/0001-90</t>
  </si>
  <si>
    <t>Google</t>
  </si>
  <si>
    <t>Espaço armazenamento gmail</t>
  </si>
  <si>
    <t>Tribunal de Justiça</t>
  </si>
  <si>
    <t>Ação contra franenge</t>
  </si>
  <si>
    <t>Cheque</t>
  </si>
  <si>
    <t>Suprimento de caixa</t>
  </si>
  <si>
    <t>Sacolas Big Bag</t>
  </si>
  <si>
    <t>Loja Elétrica</t>
  </si>
  <si>
    <t>Amostra da impressão da cartilha de boas práticas</t>
  </si>
  <si>
    <t>38.924.614/0001-32</t>
  </si>
  <si>
    <t>Patrimar Q10</t>
  </si>
  <si>
    <t>PATRIMAR ENGENHARIA LTDA.</t>
  </si>
  <si>
    <t>23.236.821/0001-27</t>
  </si>
  <si>
    <t>Material elétrico</t>
  </si>
  <si>
    <t>UNIMED Q17</t>
  </si>
  <si>
    <t>UNIMED BELO HORIZONTE COOPERATIVA DE TRABALHO MEDICO</t>
  </si>
  <si>
    <t>16.513.178/0001-76</t>
  </si>
  <si>
    <t>MJEMAI</t>
  </si>
  <si>
    <t>MJEMAI EMPREENDIMENTOS IMOBILIÁRIOS SPE LTDA</t>
  </si>
  <si>
    <t>60.973.352/0001-55</t>
  </si>
  <si>
    <t>Tutor</t>
  </si>
  <si>
    <t>Monitoramento eletrônico</t>
  </si>
  <si>
    <t>Brigada MG 030</t>
  </si>
  <si>
    <t>Prefeitura de Nova Lima</t>
  </si>
  <si>
    <t>Protocolo de ofício</t>
  </si>
  <si>
    <t>Material de higiene</t>
  </si>
  <si>
    <t>EPI</t>
  </si>
  <si>
    <t>Cartório de Títulos</t>
  </si>
  <si>
    <t>Registro de Ata</t>
  </si>
  <si>
    <t>Taxa encerramento de processo Franenge</t>
  </si>
  <si>
    <t>LCG - Q 14 - Dom Alberto</t>
  </si>
  <si>
    <t>LCG BG QUADRA 14 EMPREENDIMENTO 02 SPE LTDA</t>
  </si>
  <si>
    <t>55.548.189/0001-43</t>
  </si>
  <si>
    <t>LCG - Q 14 - Maria Maria</t>
  </si>
  <si>
    <t>LCG BG QUADRA 14 MARIA MARIA SPE LTDA</t>
  </si>
  <si>
    <t>61.440.240/0001-00</t>
  </si>
  <si>
    <t>SPE M MATOS 12 EMP.IMOBILIÁRIOS LTDA</t>
  </si>
  <si>
    <t>43.713.728/0001-73</t>
  </si>
  <si>
    <t>SPV EMPREENDIMENTOS IMOBILIARIOS SPE LTDA</t>
  </si>
  <si>
    <t>Comercial Nagasaki</t>
  </si>
  <si>
    <t>Compra de 2 cadeiras para guarita</t>
  </si>
  <si>
    <t>Alteração de nome de boleto</t>
  </si>
  <si>
    <t>SPE VALE DO SERENO Q10 EMPREENDIMENTOS IMOBILIARIOS MG0052 L</t>
  </si>
  <si>
    <t>62.323.483/0001-12</t>
  </si>
  <si>
    <t>60.827.017/0001-49</t>
  </si>
  <si>
    <t xml:space="preserve">JHM </t>
  </si>
  <si>
    <t>Metropolitana</t>
  </si>
  <si>
    <t>Caparaó - Q 06</t>
  </si>
  <si>
    <t>CONDOMÍNIO SOL</t>
  </si>
  <si>
    <t>Kadosh</t>
  </si>
  <si>
    <t>EPO</t>
  </si>
  <si>
    <t>CONDOMÍNIO DO ED RESIDENCIAL SOL</t>
  </si>
  <si>
    <t>CONDOMÍNIO DO ED RESIDENCIAL TERRA</t>
  </si>
  <si>
    <t xml:space="preserve">RKM </t>
  </si>
  <si>
    <t>CONDOMÍNIO DO ED. KADOSH</t>
  </si>
  <si>
    <t>Atlas Park</t>
  </si>
  <si>
    <t>Compra de selos de liberação estacionamento</t>
  </si>
  <si>
    <t>Depósito Colamnini</t>
  </si>
  <si>
    <t>Araujo de Lima Copiadora</t>
  </si>
  <si>
    <t>Cartões de Natal</t>
  </si>
  <si>
    <t>Comercial Dahana</t>
  </si>
  <si>
    <t>Compra de 50 panetones - brindes de fim de ano</t>
  </si>
  <si>
    <t>Compra de 11 cestas de Natal</t>
  </si>
  <si>
    <t>Capital das Cestas - 1ª de parcelas</t>
  </si>
  <si>
    <t>EPO - Q27</t>
  </si>
  <si>
    <t>CONDOMÍNIO RESIDENCIAL BOTÂNICO EDIFÍCIO SOL</t>
  </si>
  <si>
    <t>14.592.533/0001-14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</si>
</sst>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0.0000000"/>
    <numFmt numFmtId="166" formatCode="_(&quot;R$ &quot;* #,##0.00_);_(&quot;R$ &quot;* \(#,##0.00\);_(&quot;R$ &quot;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sz val="11"/>
      <color indexed="8"/>
      <name val="Aptos Narrow"/>
      <family val="2"/>
      <scheme val="minor"/>
    </font>
    <font>
      <sz val="10"/>
      <name val="Arial"/>
      <family val="2"/>
    </font>
    <font>
      <b/>
      <sz val="10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sz val="10"/>
      <name val="Aptos Narrow"/>
      <family val="2"/>
      <scheme val="minor"/>
    </font>
    <font>
      <sz val="10"/>
      <color indexed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</cellStyleXfs>
  <cellXfs count="164">
    <xf numFmtId="0" fontId="0" fillId="0" borderId="0" xfId="0"/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4" fillId="2" borderId="7" xfId="0" applyFont="1" applyFill="1" applyBorder="1"/>
    <xf numFmtId="0" fontId="5" fillId="0" borderId="9" xfId="0" applyFont="1" applyBorder="1"/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17" fontId="5" fillId="0" borderId="7" xfId="0" applyNumberFormat="1" applyFont="1" applyBorder="1" applyAlignment="1">
      <alignment horizontal="center" vertical="center"/>
    </xf>
    <xf numFmtId="44" fontId="5" fillId="0" borderId="8" xfId="2" applyFont="1" applyFill="1" applyBorder="1" applyAlignment="1">
      <alignment vertical="center"/>
    </xf>
    <xf numFmtId="44" fontId="5" fillId="0" borderId="9" xfId="2" applyFont="1" applyFill="1" applyBorder="1" applyAlignment="1">
      <alignment vertical="center"/>
    </xf>
    <xf numFmtId="0" fontId="5" fillId="0" borderId="7" xfId="0" applyFont="1" applyBorder="1" applyAlignment="1">
      <alignment vertical="center" wrapText="1"/>
    </xf>
    <xf numFmtId="44" fontId="1" fillId="0" borderId="8" xfId="2" applyFont="1" applyFill="1" applyBorder="1" applyAlignment="1">
      <alignment vertical="center"/>
    </xf>
    <xf numFmtId="0" fontId="0" fillId="0" borderId="7" xfId="0" applyBorder="1" applyAlignment="1">
      <alignment vertical="center" wrapText="1"/>
    </xf>
    <xf numFmtId="0" fontId="0" fillId="0" borderId="9" xfId="0" applyBorder="1"/>
    <xf numFmtId="0" fontId="7" fillId="2" borderId="7" xfId="4" applyFont="1" applyFill="1" applyBorder="1" applyAlignment="1">
      <alignment horizontal="center" vertical="center" wrapText="1"/>
    </xf>
    <xf numFmtId="0" fontId="7" fillId="0" borderId="7" xfId="4" applyFont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164" fontId="9" fillId="0" borderId="7" xfId="4" applyNumberFormat="1" applyFont="1" applyBorder="1"/>
    <xf numFmtId="0" fontId="10" fillId="0" borderId="7" xfId="0" applyFont="1" applyBorder="1" applyAlignment="1">
      <alignment horizontal="left" vertical="center"/>
    </xf>
    <xf numFmtId="1" fontId="10" fillId="0" borderId="7" xfId="0" applyNumberFormat="1" applyFont="1" applyBorder="1" applyAlignment="1">
      <alignment horizontal="center"/>
    </xf>
    <xf numFmtId="4" fontId="9" fillId="0" borderId="7" xfId="4" applyNumberFormat="1" applyFont="1" applyBorder="1" applyAlignment="1">
      <alignment horizontal="center"/>
    </xf>
    <xf numFmtId="165" fontId="9" fillId="0" borderId="7" xfId="5" applyNumberFormat="1" applyFont="1" applyFill="1" applyBorder="1" applyAlignment="1">
      <alignment horizontal="center"/>
    </xf>
    <xf numFmtId="43" fontId="9" fillId="0" borderId="7" xfId="1" applyFont="1" applyFill="1" applyBorder="1" applyAlignment="1">
      <alignment horizontal="center"/>
    </xf>
    <xf numFmtId="43" fontId="10" fillId="0" borderId="7" xfId="1" applyFont="1" applyFill="1" applyBorder="1"/>
    <xf numFmtId="0" fontId="0" fillId="0" borderId="0" xfId="0" applyAlignment="1">
      <alignment vertical="center"/>
    </xf>
    <xf numFmtId="0" fontId="10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1" fontId="9" fillId="0" borderId="7" xfId="0" applyNumberFormat="1" applyFont="1" applyBorder="1" applyAlignment="1">
      <alignment horizontal="center"/>
    </xf>
    <xf numFmtId="43" fontId="9" fillId="0" borderId="7" xfId="1" applyFont="1" applyFill="1" applyBorder="1"/>
    <xf numFmtId="0" fontId="11" fillId="0" borderId="0" xfId="0" applyFont="1"/>
    <xf numFmtId="0" fontId="12" fillId="0" borderId="0" xfId="0" applyFont="1"/>
    <xf numFmtId="0" fontId="13" fillId="0" borderId="7" xfId="0" applyFont="1" applyBorder="1"/>
    <xf numFmtId="0" fontId="10" fillId="0" borderId="7" xfId="0" applyFont="1" applyBorder="1"/>
    <xf numFmtId="164" fontId="7" fillId="0" borderId="7" xfId="4" applyNumberFormat="1" applyFont="1" applyBorder="1" applyAlignment="1">
      <alignment horizontal="right"/>
    </xf>
    <xf numFmtId="4" fontId="7" fillId="0" borderId="7" xfId="4" applyNumberFormat="1" applyFont="1" applyBorder="1" applyAlignment="1">
      <alignment horizontal="center"/>
    </xf>
    <xf numFmtId="165" fontId="7" fillId="0" borderId="7" xfId="5" applyNumberFormat="1" applyFont="1" applyFill="1" applyBorder="1" applyAlignment="1">
      <alignment horizontal="center"/>
    </xf>
    <xf numFmtId="43" fontId="7" fillId="0" borderId="7" xfId="1" applyFont="1" applyBorder="1" applyAlignment="1">
      <alignment horizontal="center"/>
    </xf>
    <xf numFmtId="43" fontId="8" fillId="0" borderId="7" xfId="1" applyFont="1" applyBorder="1"/>
    <xf numFmtId="166" fontId="0" fillId="0" borderId="0" xfId="0" applyNumberFormat="1"/>
    <xf numFmtId="43" fontId="0" fillId="0" borderId="0" xfId="0" applyNumberFormat="1"/>
    <xf numFmtId="9" fontId="0" fillId="0" borderId="0" xfId="3" applyFont="1"/>
    <xf numFmtId="4" fontId="0" fillId="0" borderId="0" xfId="0" applyNumberFormat="1"/>
    <xf numFmtId="0" fontId="4" fillId="2" borderId="0" xfId="0" applyFont="1" applyFill="1"/>
    <xf numFmtId="0" fontId="2" fillId="4" borderId="1" xfId="0" applyFont="1" applyFill="1" applyBorder="1"/>
    <xf numFmtId="0" fontId="2" fillId="4" borderId="5" xfId="0" applyFont="1" applyFill="1" applyBorder="1"/>
    <xf numFmtId="0" fontId="5" fillId="4" borderId="10" xfId="0" applyFont="1" applyFill="1" applyBorder="1"/>
    <xf numFmtId="0" fontId="3" fillId="4" borderId="8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vertical="center"/>
    </xf>
    <xf numFmtId="44" fontId="2" fillId="4" borderId="8" xfId="2" applyFont="1" applyFill="1" applyBorder="1" applyAlignment="1">
      <alignment vertical="center"/>
    </xf>
    <xf numFmtId="44" fontId="2" fillId="4" borderId="7" xfId="2" applyFont="1" applyFill="1" applyBorder="1" applyAlignment="1">
      <alignment vertical="center"/>
    </xf>
    <xf numFmtId="0" fontId="5" fillId="4" borderId="9" xfId="0" applyFont="1" applyFill="1" applyBorder="1"/>
    <xf numFmtId="164" fontId="9" fillId="3" borderId="7" xfId="4" applyNumberFormat="1" applyFont="1" applyFill="1" applyBorder="1"/>
    <xf numFmtId="0" fontId="10" fillId="3" borderId="7" xfId="0" applyFont="1" applyFill="1" applyBorder="1" applyAlignment="1">
      <alignment horizontal="left" vertical="center"/>
    </xf>
    <xf numFmtId="1" fontId="10" fillId="3" borderId="7" xfId="0" applyNumberFormat="1" applyFont="1" applyFill="1" applyBorder="1" applyAlignment="1">
      <alignment horizontal="center"/>
    </xf>
    <xf numFmtId="4" fontId="9" fillId="3" borderId="7" xfId="4" applyNumberFormat="1" applyFont="1" applyFill="1" applyBorder="1" applyAlignment="1">
      <alignment horizontal="center"/>
    </xf>
    <xf numFmtId="165" fontId="9" fillId="3" borderId="7" xfId="5" applyNumberFormat="1" applyFont="1" applyFill="1" applyBorder="1" applyAlignment="1">
      <alignment horizontal="center"/>
    </xf>
    <xf numFmtId="43" fontId="9" fillId="3" borderId="7" xfId="1" applyFont="1" applyFill="1" applyBorder="1" applyAlignment="1">
      <alignment horizontal="center"/>
    </xf>
    <xf numFmtId="43" fontId="10" fillId="3" borderId="7" xfId="1" applyFont="1" applyFill="1" applyBorder="1"/>
    <xf numFmtId="0" fontId="0" fillId="3" borderId="0" xfId="0" applyFill="1"/>
    <xf numFmtId="44" fontId="0" fillId="0" borderId="0" xfId="0" applyNumberFormat="1"/>
    <xf numFmtId="164" fontId="9" fillId="5" borderId="7" xfId="4" applyNumberFormat="1" applyFont="1" applyFill="1" applyBorder="1"/>
    <xf numFmtId="0" fontId="10" fillId="5" borderId="7" xfId="0" applyFont="1" applyFill="1" applyBorder="1" applyAlignment="1">
      <alignment horizontal="left" vertical="center"/>
    </xf>
    <xf numFmtId="1" fontId="10" fillId="5" borderId="7" xfId="0" applyNumberFormat="1" applyFont="1" applyFill="1" applyBorder="1" applyAlignment="1">
      <alignment horizontal="center"/>
    </xf>
    <xf numFmtId="4" fontId="9" fillId="5" borderId="7" xfId="4" applyNumberFormat="1" applyFont="1" applyFill="1" applyBorder="1" applyAlignment="1">
      <alignment horizontal="center"/>
    </xf>
    <xf numFmtId="165" fontId="9" fillId="5" borderId="7" xfId="5" applyNumberFormat="1" applyFont="1" applyFill="1" applyBorder="1" applyAlignment="1">
      <alignment horizontal="center"/>
    </xf>
    <xf numFmtId="43" fontId="9" fillId="5" borderId="7" xfId="1" applyFont="1" applyFill="1" applyBorder="1" applyAlignment="1">
      <alignment horizontal="center"/>
    </xf>
    <xf numFmtId="43" fontId="10" fillId="5" borderId="7" xfId="1" applyFont="1" applyFill="1" applyBorder="1"/>
    <xf numFmtId="0" fontId="0" fillId="5" borderId="0" xfId="0" applyFill="1" applyAlignment="1">
      <alignment vertical="center"/>
    </xf>
    <xf numFmtId="0" fontId="10" fillId="5" borderId="7" xfId="0" applyFont="1" applyFill="1" applyBorder="1" applyAlignment="1">
      <alignment horizontal="left" vertical="center" wrapText="1"/>
    </xf>
    <xf numFmtId="0" fontId="0" fillId="5" borderId="0" xfId="0" applyFill="1"/>
    <xf numFmtId="0" fontId="9" fillId="5" borderId="7" xfId="0" applyFont="1" applyFill="1" applyBorder="1" applyAlignment="1">
      <alignment horizontal="left" vertical="center" wrapText="1"/>
    </xf>
    <xf numFmtId="1" fontId="9" fillId="5" borderId="7" xfId="0" applyNumberFormat="1" applyFont="1" applyFill="1" applyBorder="1" applyAlignment="1">
      <alignment horizontal="center"/>
    </xf>
    <xf numFmtId="43" fontId="9" fillId="5" borderId="7" xfId="1" applyFont="1" applyFill="1" applyBorder="1"/>
    <xf numFmtId="0" fontId="11" fillId="5" borderId="0" xfId="0" applyFont="1" applyFill="1"/>
    <xf numFmtId="0" fontId="12" fillId="5" borderId="0" xfId="0" applyFont="1" applyFill="1"/>
    <xf numFmtId="0" fontId="17" fillId="0" borderId="0" xfId="0" applyFont="1"/>
    <xf numFmtId="0" fontId="17" fillId="0" borderId="0" xfId="0" applyFont="1" applyAlignment="1">
      <alignment horizontal="right"/>
    </xf>
    <xf numFmtId="4" fontId="7" fillId="0" borderId="7" xfId="4" applyNumberFormat="1" applyFont="1" applyBorder="1" applyAlignment="1">
      <alignment horizontal="right"/>
    </xf>
    <xf numFmtId="0" fontId="0" fillId="5" borderId="7" xfId="0" applyFill="1" applyBorder="1" applyAlignment="1">
      <alignment vertical="center"/>
    </xf>
    <xf numFmtId="0" fontId="0" fillId="5" borderId="7" xfId="0" applyFill="1" applyBorder="1"/>
    <xf numFmtId="4" fontId="0" fillId="5" borderId="0" xfId="0" applyNumberFormat="1" applyFill="1"/>
    <xf numFmtId="0" fontId="9" fillId="0" borderId="7" xfId="0" applyFont="1" applyBorder="1" applyAlignment="1">
      <alignment horizontal="left" vertical="center"/>
    </xf>
    <xf numFmtId="0" fontId="2" fillId="0" borderId="1" xfId="0" applyFont="1" applyBorder="1"/>
    <xf numFmtId="0" fontId="2" fillId="0" borderId="5" xfId="0" applyFont="1" applyBorder="1"/>
    <xf numFmtId="0" fontId="4" fillId="0" borderId="7" xfId="0" applyFont="1" applyBorder="1"/>
    <xf numFmtId="0" fontId="5" fillId="0" borderId="10" xfId="0" applyFont="1" applyBorder="1"/>
    <xf numFmtId="0" fontId="3" fillId="0" borderId="8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44" fontId="2" fillId="0" borderId="8" xfId="2" applyFont="1" applyFill="1" applyBorder="1" applyAlignment="1">
      <alignment vertical="center"/>
    </xf>
    <xf numFmtId="44" fontId="2" fillId="0" borderId="7" xfId="2" applyFont="1" applyFill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43" fontId="7" fillId="0" borderId="7" xfId="1" applyFont="1" applyFill="1" applyBorder="1" applyAlignment="1">
      <alignment horizontal="center"/>
    </xf>
    <xf numFmtId="43" fontId="8" fillId="0" borderId="7" xfId="1" applyFont="1" applyFill="1" applyBorder="1"/>
    <xf numFmtId="0" fontId="4" fillId="0" borderId="0" xfId="0" applyFont="1"/>
    <xf numFmtId="0" fontId="10" fillId="6" borderId="7" xfId="0" applyFont="1" applyFill="1" applyBorder="1" applyAlignment="1">
      <alignment horizontal="left" vertical="center"/>
    </xf>
    <xf numFmtId="1" fontId="10" fillId="6" borderId="7" xfId="0" applyNumberFormat="1" applyFont="1" applyFill="1" applyBorder="1" applyAlignment="1">
      <alignment horizontal="center"/>
    </xf>
    <xf numFmtId="0" fontId="9" fillId="3" borderId="7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18" fillId="0" borderId="0" xfId="0" applyFont="1"/>
    <xf numFmtId="0" fontId="19" fillId="0" borderId="0" xfId="0" applyFont="1"/>
    <xf numFmtId="4" fontId="12" fillId="0" borderId="0" xfId="0" applyNumberFormat="1" applyFont="1"/>
    <xf numFmtId="1" fontId="9" fillId="3" borderId="7" xfId="0" applyNumberFormat="1" applyFont="1" applyFill="1" applyBorder="1" applyAlignment="1">
      <alignment horizontal="center"/>
    </xf>
    <xf numFmtId="43" fontId="9" fillId="3" borderId="7" xfId="1" applyFont="1" applyFill="1" applyBorder="1"/>
    <xf numFmtId="0" fontId="12" fillId="3" borderId="0" xfId="0" applyFont="1" applyFill="1"/>
    <xf numFmtId="0" fontId="12" fillId="7" borderId="0" xfId="0" applyFont="1" applyFill="1"/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/>
    </xf>
    <xf numFmtId="164" fontId="12" fillId="0" borderId="8" xfId="4" applyNumberFormat="1" applyFont="1" applyBorder="1" applyAlignment="1">
      <alignment horizontal="center"/>
    </xf>
    <xf numFmtId="164" fontId="12" fillId="0" borderId="6" xfId="4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9" fillId="0" borderId="7" xfId="4" applyNumberFormat="1" applyFont="1" applyFill="1" applyBorder="1"/>
    <xf numFmtId="0" fontId="9" fillId="0" borderId="7" xfId="0" applyFont="1" applyFill="1" applyBorder="1" applyAlignment="1">
      <alignment horizontal="left" vertical="center"/>
    </xf>
    <xf numFmtId="1" fontId="9" fillId="0" borderId="7" xfId="0" applyNumberFormat="1" applyFont="1" applyFill="1" applyBorder="1" applyAlignment="1">
      <alignment horizontal="center"/>
    </xf>
    <xf numFmtId="4" fontId="9" fillId="0" borderId="7" xfId="4" applyNumberFormat="1" applyFont="1" applyFill="1" applyBorder="1" applyAlignment="1">
      <alignment horizontal="center"/>
    </xf>
    <xf numFmtId="0" fontId="12" fillId="0" borderId="0" xfId="0" applyFont="1" applyFill="1"/>
    <xf numFmtId="0" fontId="2" fillId="0" borderId="1" xfId="0" applyFont="1" applyFill="1" applyBorder="1"/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/>
    <xf numFmtId="0" fontId="0" fillId="0" borderId="0" xfId="0" applyFill="1"/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/>
    </xf>
    <xf numFmtId="0" fontId="4" fillId="0" borderId="7" xfId="0" applyFont="1" applyFill="1" applyBorder="1"/>
    <xf numFmtId="0" fontId="5" fillId="0" borderId="9" xfId="0" applyFont="1" applyFill="1" applyBorder="1"/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vertical="center"/>
    </xf>
    <xf numFmtId="17" fontId="5" fillId="0" borderId="7" xfId="0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vertical="center" wrapText="1"/>
    </xf>
    <xf numFmtId="0" fontId="0" fillId="0" borderId="7" xfId="0" applyFill="1" applyBorder="1" applyAlignment="1">
      <alignment vertical="center" wrapText="1"/>
    </xf>
    <xf numFmtId="0" fontId="0" fillId="0" borderId="9" xfId="0" applyFill="1" applyBorder="1"/>
    <xf numFmtId="0" fontId="5" fillId="0" borderId="10" xfId="0" applyFont="1" applyFill="1" applyBorder="1"/>
    <xf numFmtId="0" fontId="3" fillId="0" borderId="8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7" xfId="0" applyFont="1" applyFill="1" applyBorder="1" applyAlignment="1">
      <alignment vertical="center"/>
    </xf>
    <xf numFmtId="0" fontId="7" fillId="0" borderId="7" xfId="4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vertical="center"/>
    </xf>
    <xf numFmtId="0" fontId="9" fillId="0" borderId="7" xfId="0" applyFont="1" applyFill="1" applyBorder="1" applyAlignment="1">
      <alignment horizontal="left" vertical="center" wrapText="1"/>
    </xf>
    <xf numFmtId="0" fontId="18" fillId="0" borderId="0" xfId="0" applyFont="1" applyFill="1"/>
    <xf numFmtId="0" fontId="19" fillId="0" borderId="0" xfId="0" applyFont="1" applyFill="1"/>
    <xf numFmtId="4" fontId="12" fillId="0" borderId="0" xfId="0" applyNumberFormat="1" applyFont="1" applyFill="1"/>
    <xf numFmtId="0" fontId="13" fillId="0" borderId="7" xfId="0" applyFont="1" applyFill="1" applyBorder="1"/>
    <xf numFmtId="0" fontId="10" fillId="0" borderId="7" xfId="0" applyFont="1" applyFill="1" applyBorder="1"/>
    <xf numFmtId="164" fontId="7" fillId="0" borderId="7" xfId="4" applyNumberFormat="1" applyFont="1" applyFill="1" applyBorder="1" applyAlignment="1">
      <alignment horizontal="right"/>
    </xf>
    <xf numFmtId="4" fontId="7" fillId="0" borderId="7" xfId="4" applyNumberFormat="1" applyFont="1" applyFill="1" applyBorder="1" applyAlignment="1">
      <alignment horizontal="center"/>
    </xf>
    <xf numFmtId="4" fontId="0" fillId="0" borderId="0" xfId="0" applyNumberFormat="1" applyFill="1"/>
    <xf numFmtId="166" fontId="0" fillId="0" borderId="0" xfId="0" applyNumberFormat="1" applyFill="1"/>
    <xf numFmtId="43" fontId="0" fillId="0" borderId="0" xfId="0" applyNumberFormat="1" applyFill="1"/>
    <xf numFmtId="0" fontId="4" fillId="0" borderId="0" xfId="0" applyFont="1" applyFill="1"/>
  </cellXfs>
  <cellStyles count="6">
    <cellStyle name="Moeda" xfId="2" builtinId="4"/>
    <cellStyle name="Normal" xfId="0" builtinId="0"/>
    <cellStyle name="Normal 2" xfId="4" xr:uid="{00000000-0005-0000-0000-000002000000}"/>
    <cellStyle name="Porcentagem" xfId="3" builtinId="5"/>
    <cellStyle name="Porcentagem 2" xfId="5" xr:uid="{00000000-0005-0000-0000-000004000000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1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0"/>
  <sheetViews>
    <sheetView topLeftCell="B35" zoomScale="110" zoomScaleNormal="110" workbookViewId="0">
      <selection activeCell="M54" sqref="M54"/>
    </sheetView>
  </sheetViews>
  <sheetFormatPr defaultColWidth="9.140625" defaultRowHeight="15" x14ac:dyDescent="0.25"/>
  <cols>
    <col min="1" max="1" width="29.5703125" style="45" customWidth="1"/>
    <col min="2" max="2" width="45.28515625" style="45" customWidth="1"/>
    <col min="3" max="3" width="29.7109375" style="45" customWidth="1"/>
    <col min="4" max="4" width="21.42578125" style="45" customWidth="1"/>
    <col min="5" max="5" width="17.42578125" style="45" customWidth="1"/>
    <col min="6" max="6" width="16.42578125" style="45" customWidth="1"/>
    <col min="7" max="7" width="17.140625" style="45" customWidth="1"/>
    <col min="8" max="8" width="16.85546875" style="45" bestFit="1" customWidth="1"/>
    <col min="9" max="16384" width="9.140625" style="45"/>
  </cols>
  <sheetData>
    <row r="1" spans="1:8" customFormat="1" ht="21.75" customHeight="1" x14ac:dyDescent="0.25">
      <c r="A1" s="46"/>
      <c r="B1" s="112" t="s">
        <v>0</v>
      </c>
      <c r="C1" s="113"/>
      <c r="D1" s="113"/>
      <c r="E1" s="113"/>
      <c r="F1" s="113"/>
      <c r="G1" s="114"/>
      <c r="H1" s="47"/>
    </row>
    <row r="2" spans="1:8" customFormat="1" ht="30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3"/>
      <c r="F2" s="4" t="s">
        <v>5</v>
      </c>
      <c r="G2" s="5"/>
      <c r="H2" s="6"/>
    </row>
    <row r="3" spans="1:8" customFormat="1" ht="30.6" customHeight="1" x14ac:dyDescent="0.25">
      <c r="A3" s="7">
        <v>1</v>
      </c>
      <c r="B3" s="8" t="s">
        <v>6</v>
      </c>
      <c r="C3" s="8"/>
      <c r="D3" s="9">
        <v>45658</v>
      </c>
      <c r="E3" s="9"/>
      <c r="F3" s="10">
        <f>532.69+550</f>
        <v>1082.69</v>
      </c>
      <c r="G3" s="5"/>
      <c r="H3" s="6"/>
    </row>
    <row r="4" spans="1:8" customFormat="1" ht="30.6" customHeight="1" x14ac:dyDescent="0.25">
      <c r="A4" s="7">
        <v>2</v>
      </c>
      <c r="B4" s="8" t="s">
        <v>7</v>
      </c>
      <c r="C4" s="8"/>
      <c r="D4" s="9">
        <v>45658</v>
      </c>
      <c r="E4" s="9"/>
      <c r="F4" s="10">
        <v>629.71</v>
      </c>
      <c r="G4" s="5"/>
      <c r="H4" s="11"/>
    </row>
    <row r="5" spans="1:8" customFormat="1" ht="30.6" customHeight="1" x14ac:dyDescent="0.25">
      <c r="A5" s="7">
        <v>3</v>
      </c>
      <c r="B5" s="8" t="s">
        <v>8</v>
      </c>
      <c r="C5" s="8" t="s">
        <v>9</v>
      </c>
      <c r="D5" s="9">
        <v>45658</v>
      </c>
      <c r="E5" s="9"/>
      <c r="F5" s="10">
        <f>30543.5+1110+370+1720.5+3256+10.74+5.67+1.22</f>
        <v>37017.629999999997</v>
      </c>
      <c r="G5" s="5"/>
      <c r="H5" s="11"/>
    </row>
    <row r="6" spans="1:8" customFormat="1" ht="30.6" customHeight="1" x14ac:dyDescent="0.25">
      <c r="A6" s="7">
        <v>4</v>
      </c>
      <c r="B6" s="8" t="s">
        <v>10</v>
      </c>
      <c r="C6" s="12" t="s">
        <v>11</v>
      </c>
      <c r="D6" s="9">
        <v>45658</v>
      </c>
      <c r="E6" s="9"/>
      <c r="F6" s="10">
        <f>38676.1+7.01</f>
        <v>38683.11</v>
      </c>
      <c r="G6" s="5"/>
      <c r="H6" s="11"/>
    </row>
    <row r="7" spans="1:8" customFormat="1" ht="30.6" customHeight="1" x14ac:dyDescent="0.25">
      <c r="A7" s="7">
        <v>5</v>
      </c>
      <c r="B7" s="8" t="s">
        <v>12</v>
      </c>
      <c r="C7" s="8"/>
      <c r="D7" s="9">
        <v>45658</v>
      </c>
      <c r="E7" s="9"/>
      <c r="F7" s="10">
        <v>373.75</v>
      </c>
      <c r="G7" s="5"/>
      <c r="H7" s="6"/>
    </row>
    <row r="8" spans="1:8" customFormat="1" ht="30.6" customHeight="1" x14ac:dyDescent="0.25">
      <c r="A8" s="7">
        <v>6</v>
      </c>
      <c r="B8" s="8" t="s">
        <v>13</v>
      </c>
      <c r="C8" s="8" t="s">
        <v>14</v>
      </c>
      <c r="D8" s="9">
        <v>45658</v>
      </c>
      <c r="E8" s="9"/>
      <c r="F8" s="13">
        <v>1412</v>
      </c>
      <c r="G8" s="5"/>
      <c r="H8" s="6"/>
    </row>
    <row r="9" spans="1:8" customFormat="1" ht="30.6" customHeight="1" x14ac:dyDescent="0.25">
      <c r="A9" s="7">
        <v>7</v>
      </c>
      <c r="B9" s="8" t="s">
        <v>15</v>
      </c>
      <c r="C9" s="8" t="s">
        <v>16</v>
      </c>
      <c r="D9" s="9">
        <v>45658</v>
      </c>
      <c r="E9" s="9"/>
      <c r="F9" s="13">
        <v>2500</v>
      </c>
      <c r="G9" s="5"/>
      <c r="H9" s="6"/>
    </row>
    <row r="10" spans="1:8" customFormat="1" ht="34.5" customHeight="1" x14ac:dyDescent="0.25">
      <c r="A10" s="7">
        <v>8</v>
      </c>
      <c r="B10" s="14" t="s">
        <v>17</v>
      </c>
      <c r="C10" s="12" t="s">
        <v>18</v>
      </c>
      <c r="D10" s="9">
        <v>45658</v>
      </c>
      <c r="E10" s="9"/>
      <c r="F10" s="13">
        <v>880</v>
      </c>
      <c r="G10" s="5"/>
      <c r="H10" s="6"/>
    </row>
    <row r="11" spans="1:8" customFormat="1" ht="30.6" customHeight="1" x14ac:dyDescent="0.25">
      <c r="A11" s="7">
        <v>9</v>
      </c>
      <c r="B11" s="14" t="s">
        <v>19</v>
      </c>
      <c r="C11" s="14" t="s">
        <v>20</v>
      </c>
      <c r="D11" s="9">
        <v>45658</v>
      </c>
      <c r="E11" s="9"/>
      <c r="F11" s="13">
        <v>214.34</v>
      </c>
      <c r="G11" s="5"/>
      <c r="H11" s="6"/>
    </row>
    <row r="12" spans="1:8" customFormat="1" ht="30.6" customHeight="1" x14ac:dyDescent="0.25">
      <c r="A12" s="7">
        <v>10</v>
      </c>
      <c r="B12" s="14" t="s">
        <v>21</v>
      </c>
      <c r="C12" s="12" t="s">
        <v>22</v>
      </c>
      <c r="D12" s="9">
        <v>45658</v>
      </c>
      <c r="E12" s="9"/>
      <c r="F12" s="13">
        <v>385</v>
      </c>
      <c r="G12" s="5"/>
      <c r="H12" s="15"/>
    </row>
    <row r="13" spans="1:8" customFormat="1" ht="30.6" customHeight="1" x14ac:dyDescent="0.25">
      <c r="A13" s="7">
        <v>11</v>
      </c>
      <c r="B13" s="14" t="s">
        <v>23</v>
      </c>
      <c r="C13" s="8"/>
      <c r="D13" s="9">
        <v>45658</v>
      </c>
      <c r="E13" s="9"/>
      <c r="F13" s="13">
        <v>70</v>
      </c>
      <c r="G13" s="5"/>
      <c r="H13" s="6"/>
    </row>
    <row r="14" spans="1:8" customFormat="1" ht="31.5" customHeight="1" x14ac:dyDescent="0.25">
      <c r="A14" s="7">
        <v>12</v>
      </c>
      <c r="B14" s="14" t="s">
        <v>24</v>
      </c>
      <c r="C14" s="12" t="s">
        <v>25</v>
      </c>
      <c r="D14" s="9">
        <v>45658</v>
      </c>
      <c r="E14" s="9"/>
      <c r="F14" s="13">
        <v>352.5</v>
      </c>
      <c r="G14" s="5"/>
      <c r="H14" s="6"/>
    </row>
    <row r="15" spans="1:8" customFormat="1" ht="31.5" customHeight="1" x14ac:dyDescent="0.25">
      <c r="A15" s="7">
        <v>12</v>
      </c>
      <c r="B15" s="14" t="s">
        <v>26</v>
      </c>
      <c r="C15" s="12" t="s">
        <v>27</v>
      </c>
      <c r="D15" s="9">
        <v>45658</v>
      </c>
      <c r="E15" s="9"/>
      <c r="F15" s="13">
        <v>72.59</v>
      </c>
      <c r="G15" s="5"/>
      <c r="H15" s="6"/>
    </row>
    <row r="16" spans="1:8" customFormat="1" ht="31.5" customHeight="1" x14ac:dyDescent="0.25">
      <c r="A16" s="7">
        <v>12</v>
      </c>
      <c r="B16" s="14" t="s">
        <v>26</v>
      </c>
      <c r="C16" s="12" t="s">
        <v>28</v>
      </c>
      <c r="D16" s="9">
        <v>45658</v>
      </c>
      <c r="E16" s="9"/>
      <c r="F16" s="13">
        <v>859</v>
      </c>
      <c r="G16" s="5"/>
      <c r="H16" s="6"/>
    </row>
    <row r="17" spans="1:12" customFormat="1" ht="34.5" customHeight="1" x14ac:dyDescent="0.25">
      <c r="A17" s="7">
        <v>13</v>
      </c>
      <c r="B17" s="14" t="s">
        <v>29</v>
      </c>
      <c r="C17" s="12" t="s">
        <v>30</v>
      </c>
      <c r="D17" s="9">
        <v>45658</v>
      </c>
      <c r="E17" s="9"/>
      <c r="F17" s="13">
        <v>369.39</v>
      </c>
      <c r="G17" s="5"/>
      <c r="H17" s="6"/>
    </row>
    <row r="18" spans="1:12" customFormat="1" ht="42" customHeight="1" x14ac:dyDescent="0.25">
      <c r="A18" s="48"/>
      <c r="B18" s="49" t="s">
        <v>31</v>
      </c>
      <c r="C18" s="50"/>
      <c r="D18" s="51"/>
      <c r="E18" s="52"/>
      <c r="F18" s="53">
        <f>SUM(F3:F17)</f>
        <v>84901.709999999992</v>
      </c>
      <c r="G18" s="54"/>
      <c r="H18" s="55"/>
    </row>
    <row r="19" spans="1:12" customFormat="1" ht="21.75" customHeight="1" x14ac:dyDescent="0.25">
      <c r="A19" s="16" t="s">
        <v>32</v>
      </c>
      <c r="B19" s="17" t="s">
        <v>33</v>
      </c>
      <c r="C19" s="18" t="s">
        <v>34</v>
      </c>
      <c r="D19" s="16" t="s">
        <v>35</v>
      </c>
      <c r="E19" s="16" t="s">
        <v>36</v>
      </c>
      <c r="F19" s="16" t="s">
        <v>37</v>
      </c>
      <c r="G19" s="19" t="s">
        <v>38</v>
      </c>
      <c r="H19" s="18" t="s">
        <v>39</v>
      </c>
    </row>
    <row r="20" spans="1:12" s="27" customFormat="1" ht="15" customHeight="1" x14ac:dyDescent="0.25">
      <c r="A20" s="20" t="s">
        <v>40</v>
      </c>
      <c r="B20" s="21" t="s">
        <v>41</v>
      </c>
      <c r="C20" s="22" t="s">
        <v>42</v>
      </c>
      <c r="D20" s="23">
        <v>4016</v>
      </c>
      <c r="E20" s="24">
        <f>D20/$D$61</f>
        <v>1.3299610959886176E-2</v>
      </c>
      <c r="F20" s="25">
        <f>$F$18*E20</f>
        <v>1129.1597128290775</v>
      </c>
      <c r="G20" s="26">
        <f>F20*5%</f>
        <v>56.457985641453881</v>
      </c>
      <c r="H20" s="26">
        <f t="shared" ref="H20:H60" si="0">F20+G20</f>
        <v>1185.6176984705314</v>
      </c>
    </row>
    <row r="21" spans="1:12" customFormat="1" x14ac:dyDescent="0.25">
      <c r="A21" s="20" t="s">
        <v>43</v>
      </c>
      <c r="B21" s="28" t="s">
        <v>44</v>
      </c>
      <c r="C21" s="22">
        <v>18778225000139</v>
      </c>
      <c r="D21" s="23">
        <v>8711.2199999999993</v>
      </c>
      <c r="E21" s="24">
        <f t="shared" ref="E21:E60" si="1">D21/$D$61</f>
        <v>2.8848564986548714E-2</v>
      </c>
      <c r="F21" s="25">
        <f t="shared" ref="F21:F60" si="2">$F$18*E21</f>
        <v>2449.2924984041124</v>
      </c>
      <c r="G21" s="26">
        <f t="shared" ref="G21:G60" si="3">F21*5%</f>
        <v>122.46462492020562</v>
      </c>
      <c r="H21" s="26">
        <f t="shared" si="0"/>
        <v>2571.7571233243179</v>
      </c>
    </row>
    <row r="22" spans="1:12" customFormat="1" x14ac:dyDescent="0.25">
      <c r="A22" s="20" t="s">
        <v>45</v>
      </c>
      <c r="B22" s="28" t="s">
        <v>46</v>
      </c>
      <c r="C22" s="22">
        <v>41993875000119</v>
      </c>
      <c r="D22" s="23">
        <v>3641.8</v>
      </c>
      <c r="E22" s="24">
        <f t="shared" si="1"/>
        <v>1.206038924146252E-2</v>
      </c>
      <c r="F22" s="25">
        <f t="shared" si="2"/>
        <v>1023.9476698657708</v>
      </c>
      <c r="G22" s="26">
        <f t="shared" si="3"/>
        <v>51.197383493288541</v>
      </c>
      <c r="H22" s="26">
        <f t="shared" si="0"/>
        <v>1075.1450533590594</v>
      </c>
    </row>
    <row r="23" spans="1:12" customFormat="1" x14ac:dyDescent="0.25">
      <c r="A23" s="20" t="s">
        <v>47</v>
      </c>
      <c r="B23" s="21" t="s">
        <v>48</v>
      </c>
      <c r="C23" s="22">
        <v>24781302000102</v>
      </c>
      <c r="D23" s="23">
        <v>3430</v>
      </c>
      <c r="E23" s="24">
        <f t="shared" si="1"/>
        <v>1.1358980476197605E-2</v>
      </c>
      <c r="F23" s="25">
        <f t="shared" si="2"/>
        <v>964.39686628579091</v>
      </c>
      <c r="G23" s="26">
        <f t="shared" si="3"/>
        <v>48.219843314289548</v>
      </c>
      <c r="H23" s="26">
        <f t="shared" si="0"/>
        <v>1012.6167096000804</v>
      </c>
    </row>
    <row r="24" spans="1:12" customFormat="1" x14ac:dyDescent="0.25">
      <c r="A24" s="20" t="s">
        <v>49</v>
      </c>
      <c r="B24" s="21" t="s">
        <v>50</v>
      </c>
      <c r="C24" s="22">
        <v>38649716000197</v>
      </c>
      <c r="D24" s="23">
        <v>3440</v>
      </c>
      <c r="E24" s="24">
        <f t="shared" si="1"/>
        <v>1.1392097037352699E-2</v>
      </c>
      <c r="F24" s="25">
        <f t="shared" si="2"/>
        <v>967.20851895717794</v>
      </c>
      <c r="G24" s="26">
        <f t="shared" si="3"/>
        <v>48.3604259478589</v>
      </c>
      <c r="H24" s="26">
        <f t="shared" si="0"/>
        <v>1015.5689449050368</v>
      </c>
    </row>
    <row r="25" spans="1:12" customFormat="1" x14ac:dyDescent="0.25">
      <c r="A25" s="20" t="s">
        <v>51</v>
      </c>
      <c r="B25" s="21" t="s">
        <v>52</v>
      </c>
      <c r="C25" s="22" t="s">
        <v>53</v>
      </c>
      <c r="D25" s="23">
        <v>4056</v>
      </c>
      <c r="E25" s="24">
        <f t="shared" si="1"/>
        <v>1.3432077204506556E-2</v>
      </c>
      <c r="F25" s="25">
        <f t="shared" si="2"/>
        <v>1140.4063235146261</v>
      </c>
      <c r="G25" s="26">
        <f t="shared" si="3"/>
        <v>57.02031617573131</v>
      </c>
      <c r="H25" s="26">
        <f t="shared" si="0"/>
        <v>1197.4266396903574</v>
      </c>
    </row>
    <row r="26" spans="1:12" customFormat="1" x14ac:dyDescent="0.25">
      <c r="A26" s="20" t="s">
        <v>54</v>
      </c>
      <c r="B26" s="21" t="s">
        <v>55</v>
      </c>
      <c r="C26" s="22" t="s">
        <v>56</v>
      </c>
      <c r="D26" s="23">
        <v>11580</v>
      </c>
      <c r="E26" s="24">
        <f t="shared" si="1"/>
        <v>3.8348977817600077E-2</v>
      </c>
      <c r="F26" s="25">
        <f t="shared" si="2"/>
        <v>3255.8937934663145</v>
      </c>
      <c r="G26" s="26">
        <f t="shared" si="3"/>
        <v>162.79468967331573</v>
      </c>
      <c r="H26" s="26">
        <f t="shared" si="0"/>
        <v>3418.6884831396301</v>
      </c>
    </row>
    <row r="27" spans="1:12" customFormat="1" x14ac:dyDescent="0.25">
      <c r="A27" s="20" t="s">
        <v>57</v>
      </c>
      <c r="B27" s="21" t="s">
        <v>58</v>
      </c>
      <c r="C27" s="22" t="s">
        <v>59</v>
      </c>
      <c r="D27" s="23">
        <f>360+360+1510</f>
        <v>2230</v>
      </c>
      <c r="E27" s="24">
        <f t="shared" si="1"/>
        <v>7.3849931375861979E-3</v>
      </c>
      <c r="F27" s="25">
        <f t="shared" si="2"/>
        <v>626.99854571933338</v>
      </c>
      <c r="G27" s="26">
        <f t="shared" si="3"/>
        <v>31.349927285966672</v>
      </c>
      <c r="H27" s="26">
        <f t="shared" si="0"/>
        <v>658.34847300530009</v>
      </c>
    </row>
    <row r="28" spans="1:12" s="33" customFormat="1" ht="15.75" customHeight="1" x14ac:dyDescent="0.25">
      <c r="A28" s="20" t="s">
        <v>60</v>
      </c>
      <c r="B28" s="29" t="s">
        <v>61</v>
      </c>
      <c r="C28" s="30" t="s">
        <v>62</v>
      </c>
      <c r="D28" s="23">
        <f>5224+3930</f>
        <v>9154</v>
      </c>
      <c r="E28" s="24">
        <f t="shared" si="1"/>
        <v>3.0314900081374017E-2</v>
      </c>
      <c r="F28" s="25">
        <f t="shared" si="2"/>
        <v>2573.7868553877929</v>
      </c>
      <c r="G28" s="26">
        <f t="shared" si="3"/>
        <v>128.68934276938964</v>
      </c>
      <c r="H28" s="31">
        <f t="shared" si="0"/>
        <v>2702.4761981571824</v>
      </c>
      <c r="I28" s="32" t="s">
        <v>63</v>
      </c>
      <c r="L28" s="33" t="s">
        <v>64</v>
      </c>
    </row>
    <row r="29" spans="1:12" customFormat="1" ht="15.75" customHeight="1" x14ac:dyDescent="0.25">
      <c r="A29" s="20" t="s">
        <v>65</v>
      </c>
      <c r="B29" s="28" t="s">
        <v>66</v>
      </c>
      <c r="C29" s="22" t="s">
        <v>67</v>
      </c>
      <c r="D29" s="23">
        <v>2610</v>
      </c>
      <c r="E29" s="24">
        <f t="shared" si="1"/>
        <v>8.6434224614798105E-3</v>
      </c>
      <c r="F29" s="25">
        <f t="shared" si="2"/>
        <v>733.841347232045</v>
      </c>
      <c r="G29" s="26">
        <f t="shared" si="3"/>
        <v>36.692067361602248</v>
      </c>
      <c r="H29" s="26">
        <f t="shared" si="0"/>
        <v>770.53341459364719</v>
      </c>
    </row>
    <row r="30" spans="1:12" customFormat="1" ht="15.75" customHeight="1" x14ac:dyDescent="0.25">
      <c r="A30" s="20" t="s">
        <v>68</v>
      </c>
      <c r="B30" s="28" t="s">
        <v>69</v>
      </c>
      <c r="C30" s="22" t="s">
        <v>70</v>
      </c>
      <c r="D30" s="23">
        <v>5515</v>
      </c>
      <c r="E30" s="24">
        <f t="shared" si="1"/>
        <v>1.8263783477034924E-2</v>
      </c>
      <c r="F30" s="25">
        <f t="shared" si="2"/>
        <v>1550.6264482700105</v>
      </c>
      <c r="G30" s="26">
        <f t="shared" si="3"/>
        <v>77.531322413500533</v>
      </c>
      <c r="H30" s="26">
        <f t="shared" si="0"/>
        <v>1628.157770683511</v>
      </c>
    </row>
    <row r="31" spans="1:12" customFormat="1" ht="15.75" customHeight="1" x14ac:dyDescent="0.25">
      <c r="A31" s="20" t="s">
        <v>71</v>
      </c>
      <c r="B31" s="21" t="s">
        <v>72</v>
      </c>
      <c r="C31" s="22">
        <v>17202383000183</v>
      </c>
      <c r="D31" s="23">
        <v>15332</v>
      </c>
      <c r="E31" s="24">
        <f t="shared" si="1"/>
        <v>5.0774311562991746E-2</v>
      </c>
      <c r="F31" s="25">
        <f t="shared" si="2"/>
        <v>4310.8258757707717</v>
      </c>
      <c r="G31" s="26">
        <f t="shared" si="3"/>
        <v>215.54129378853861</v>
      </c>
      <c r="H31" s="26">
        <f t="shared" si="0"/>
        <v>4526.3671695593102</v>
      </c>
    </row>
    <row r="32" spans="1:12" customFormat="1" ht="15.75" customHeight="1" x14ac:dyDescent="0.25">
      <c r="A32" s="20" t="s">
        <v>73</v>
      </c>
      <c r="B32" s="21" t="s">
        <v>74</v>
      </c>
      <c r="C32" s="22">
        <v>18183488000103</v>
      </c>
      <c r="D32" s="23">
        <v>7238</v>
      </c>
      <c r="E32" s="24">
        <f t="shared" si="1"/>
        <v>2.3969766964057802E-2</v>
      </c>
      <c r="F32" s="25">
        <f t="shared" si="2"/>
        <v>2035.0742035500157</v>
      </c>
      <c r="G32" s="26">
        <f t="shared" si="3"/>
        <v>101.75371017750079</v>
      </c>
      <c r="H32" s="26">
        <f t="shared" si="0"/>
        <v>2136.8279137275163</v>
      </c>
    </row>
    <row r="33" spans="1:12" customFormat="1" x14ac:dyDescent="0.25">
      <c r="A33" s="20" t="s">
        <v>75</v>
      </c>
      <c r="B33" s="21" t="s">
        <v>76</v>
      </c>
      <c r="C33" s="22">
        <v>18244070000150</v>
      </c>
      <c r="D33" s="23">
        <v>5941</v>
      </c>
      <c r="E33" s="24">
        <f t="shared" si="1"/>
        <v>1.9674548982241975E-2</v>
      </c>
      <c r="F33" s="25">
        <f t="shared" si="2"/>
        <v>1670.4028520711031</v>
      </c>
      <c r="G33" s="26">
        <f t="shared" si="3"/>
        <v>83.520142603555158</v>
      </c>
      <c r="H33" s="26">
        <f t="shared" si="0"/>
        <v>1753.9229946746582</v>
      </c>
    </row>
    <row r="34" spans="1:12" customFormat="1" x14ac:dyDescent="0.25">
      <c r="A34" s="20" t="s">
        <v>77</v>
      </c>
      <c r="B34" s="21" t="s">
        <v>78</v>
      </c>
      <c r="C34" s="22">
        <v>18244039000110</v>
      </c>
      <c r="D34" s="23">
        <v>4460</v>
      </c>
      <c r="E34" s="24">
        <f t="shared" si="1"/>
        <v>1.4769986275172396E-2</v>
      </c>
      <c r="F34" s="25">
        <f t="shared" si="2"/>
        <v>1253.9970914386668</v>
      </c>
      <c r="G34" s="26">
        <f t="shared" si="3"/>
        <v>62.699854571933344</v>
      </c>
      <c r="H34" s="26">
        <f t="shared" si="0"/>
        <v>1316.6969460106002</v>
      </c>
    </row>
    <row r="35" spans="1:12" customFormat="1" x14ac:dyDescent="0.25">
      <c r="A35" s="20" t="s">
        <v>79</v>
      </c>
      <c r="B35" s="21" t="s">
        <v>80</v>
      </c>
      <c r="C35" s="22">
        <v>15500591000133</v>
      </c>
      <c r="D35" s="23">
        <v>4415</v>
      </c>
      <c r="E35" s="24">
        <f t="shared" si="1"/>
        <v>1.4620961749974468E-2</v>
      </c>
      <c r="F35" s="25">
        <f t="shared" si="2"/>
        <v>1241.3446544174246</v>
      </c>
      <c r="G35" s="26">
        <f t="shared" si="3"/>
        <v>62.067232720871232</v>
      </c>
      <c r="H35" s="26">
        <f t="shared" si="0"/>
        <v>1303.4118871382959</v>
      </c>
    </row>
    <row r="36" spans="1:12" customFormat="1" x14ac:dyDescent="0.25">
      <c r="A36" s="20" t="s">
        <v>81</v>
      </c>
      <c r="B36" s="21" t="s">
        <v>82</v>
      </c>
      <c r="C36" s="22" t="s">
        <v>83</v>
      </c>
      <c r="D36" s="23">
        <v>8673</v>
      </c>
      <c r="E36" s="24">
        <f t="shared" si="1"/>
        <v>2.8721993489813944E-2</v>
      </c>
      <c r="F36" s="25">
        <f t="shared" si="2"/>
        <v>2438.5463618940712</v>
      </c>
      <c r="G36" s="26">
        <f t="shared" si="3"/>
        <v>121.92731809470357</v>
      </c>
      <c r="H36" s="26">
        <f t="shared" si="0"/>
        <v>2560.4736799887746</v>
      </c>
    </row>
    <row r="37" spans="1:12" customFormat="1" x14ac:dyDescent="0.25">
      <c r="A37" s="20" t="s">
        <v>84</v>
      </c>
      <c r="B37" s="21" t="s">
        <v>85</v>
      </c>
      <c r="C37" s="22" t="s">
        <v>86</v>
      </c>
      <c r="D37" s="23">
        <v>9239</v>
      </c>
      <c r="E37" s="24">
        <f t="shared" si="1"/>
        <v>3.0596390851192326E-2</v>
      </c>
      <c r="F37" s="25">
        <f t="shared" si="2"/>
        <v>2597.6859030945839</v>
      </c>
      <c r="G37" s="26">
        <f t="shared" si="3"/>
        <v>129.88429515472919</v>
      </c>
      <c r="H37" s="26">
        <f t="shared" si="0"/>
        <v>2727.5701982493129</v>
      </c>
    </row>
    <row r="38" spans="1:12" customFormat="1" x14ac:dyDescent="0.25">
      <c r="A38" s="20" t="s">
        <v>87</v>
      </c>
      <c r="B38" s="21" t="s">
        <v>88</v>
      </c>
      <c r="C38" s="22" t="s">
        <v>89</v>
      </c>
      <c r="D38" s="23">
        <v>4892</v>
      </c>
      <c r="E38" s="24">
        <f t="shared" si="1"/>
        <v>1.6200621717072504E-2</v>
      </c>
      <c r="F38" s="25">
        <f t="shared" si="2"/>
        <v>1375.4604868425915</v>
      </c>
      <c r="G38" s="26">
        <f t="shared" si="3"/>
        <v>68.773024342129574</v>
      </c>
      <c r="H38" s="26">
        <f t="shared" si="0"/>
        <v>1444.233511184721</v>
      </c>
    </row>
    <row r="39" spans="1:12" customFormat="1" x14ac:dyDescent="0.25">
      <c r="A39" s="20" t="s">
        <v>90</v>
      </c>
      <c r="B39" s="21" t="s">
        <v>91</v>
      </c>
      <c r="C39" s="22">
        <v>41497649000147</v>
      </c>
      <c r="D39" s="23">
        <v>2526</v>
      </c>
      <c r="E39" s="24">
        <f t="shared" si="1"/>
        <v>8.3652433477770117E-3</v>
      </c>
      <c r="F39" s="25">
        <f t="shared" si="2"/>
        <v>710.22346479239297</v>
      </c>
      <c r="G39" s="26">
        <f t="shared" si="3"/>
        <v>35.511173239619652</v>
      </c>
      <c r="H39" s="26">
        <f t="shared" si="0"/>
        <v>745.73463803201264</v>
      </c>
    </row>
    <row r="40" spans="1:12" customFormat="1" x14ac:dyDescent="0.25">
      <c r="A40" s="20" t="s">
        <v>92</v>
      </c>
      <c r="B40" s="21" t="s">
        <v>93</v>
      </c>
      <c r="C40" s="22">
        <v>40580071000125</v>
      </c>
      <c r="D40" s="23">
        <v>3600</v>
      </c>
      <c r="E40" s="24">
        <f t="shared" si="1"/>
        <v>1.1921962015834221E-2</v>
      </c>
      <c r="F40" s="25">
        <f t="shared" si="2"/>
        <v>1012.1949616993724</v>
      </c>
      <c r="G40" s="26">
        <f t="shared" si="3"/>
        <v>50.609748084968622</v>
      </c>
      <c r="H40" s="26">
        <f t="shared" si="0"/>
        <v>1062.804709784341</v>
      </c>
      <c r="I40" s="32" t="s">
        <v>63</v>
      </c>
      <c r="L40" t="s">
        <v>94</v>
      </c>
    </row>
    <row r="41" spans="1:12" customFormat="1" x14ac:dyDescent="0.25">
      <c r="A41" s="20" t="s">
        <v>95</v>
      </c>
      <c r="B41" s="21" t="s">
        <v>96</v>
      </c>
      <c r="C41" s="22" t="s">
        <v>97</v>
      </c>
      <c r="D41" s="23">
        <v>3938</v>
      </c>
      <c r="E41" s="24">
        <f t="shared" si="1"/>
        <v>1.3041301782876434E-2</v>
      </c>
      <c r="F41" s="25">
        <f t="shared" si="2"/>
        <v>1107.2288219922577</v>
      </c>
      <c r="G41" s="26">
        <f t="shared" si="3"/>
        <v>55.36144109961289</v>
      </c>
      <c r="H41" s="26">
        <f t="shared" si="0"/>
        <v>1162.5902630918706</v>
      </c>
    </row>
    <row r="42" spans="1:12" customFormat="1" x14ac:dyDescent="0.25">
      <c r="A42" s="20" t="s">
        <v>98</v>
      </c>
      <c r="B42" s="21" t="s">
        <v>99</v>
      </c>
      <c r="C42" s="22">
        <v>18788190000119</v>
      </c>
      <c r="D42" s="23">
        <v>3707</v>
      </c>
      <c r="E42" s="24">
        <f t="shared" si="1"/>
        <v>1.2276309220193739E-2</v>
      </c>
      <c r="F42" s="25">
        <f t="shared" si="2"/>
        <v>1042.2796452832149</v>
      </c>
      <c r="G42" s="26">
        <f t="shared" si="3"/>
        <v>52.113982264160747</v>
      </c>
      <c r="H42" s="26">
        <f t="shared" si="0"/>
        <v>1094.3936275473757</v>
      </c>
    </row>
    <row r="43" spans="1:12" customFormat="1" x14ac:dyDescent="0.25">
      <c r="A43" s="20" t="s">
        <v>100</v>
      </c>
      <c r="B43" s="21" t="s">
        <v>101</v>
      </c>
      <c r="C43" s="22">
        <v>42109766000159</v>
      </c>
      <c r="D43" s="23">
        <v>5117</v>
      </c>
      <c r="E43" s="24">
        <f t="shared" si="1"/>
        <v>1.694574434306214E-2</v>
      </c>
      <c r="F43" s="25">
        <f t="shared" si="2"/>
        <v>1438.7226719488021</v>
      </c>
      <c r="G43" s="26">
        <f t="shared" si="3"/>
        <v>71.936133597440104</v>
      </c>
      <c r="H43" s="26">
        <f t="shared" si="0"/>
        <v>1510.6588055462423</v>
      </c>
    </row>
    <row r="44" spans="1:12" customFormat="1" x14ac:dyDescent="0.25">
      <c r="A44" s="20" t="s">
        <v>102</v>
      </c>
      <c r="B44" s="21" t="s">
        <v>99</v>
      </c>
      <c r="C44" s="22">
        <v>18788190000119</v>
      </c>
      <c r="D44" s="23">
        <v>14717</v>
      </c>
      <c r="E44" s="24">
        <f t="shared" si="1"/>
        <v>4.8737643051953397E-2</v>
      </c>
      <c r="F44" s="25">
        <f t="shared" si="2"/>
        <v>4137.9092364804619</v>
      </c>
      <c r="G44" s="26">
        <f t="shared" si="3"/>
        <v>206.8954618240231</v>
      </c>
      <c r="H44" s="26">
        <f t="shared" si="0"/>
        <v>4344.8046983044851</v>
      </c>
    </row>
    <row r="45" spans="1:12" customFormat="1" ht="13.5" customHeight="1" x14ac:dyDescent="0.25">
      <c r="A45" s="20" t="s">
        <v>103</v>
      </c>
      <c r="B45" s="21" t="s">
        <v>104</v>
      </c>
      <c r="C45" s="22">
        <v>32302613000170</v>
      </c>
      <c r="D45" s="23">
        <v>5439</v>
      </c>
      <c r="E45" s="24">
        <f t="shared" si="1"/>
        <v>1.8012097612256202E-2</v>
      </c>
      <c r="F45" s="25">
        <f t="shared" si="2"/>
        <v>1529.2578879674684</v>
      </c>
      <c r="G45" s="26">
        <f t="shared" si="3"/>
        <v>76.462894398373422</v>
      </c>
      <c r="H45" s="26">
        <f t="shared" si="0"/>
        <v>1605.7207823658418</v>
      </c>
    </row>
    <row r="46" spans="1:12" customFormat="1" x14ac:dyDescent="0.25">
      <c r="A46" s="20" t="s">
        <v>105</v>
      </c>
      <c r="B46" s="21" t="s">
        <v>106</v>
      </c>
      <c r="C46" s="22">
        <v>28616552000148</v>
      </c>
      <c r="D46" s="23">
        <v>4123.71</v>
      </c>
      <c r="E46" s="24">
        <f t="shared" si="1"/>
        <v>1.3656309440087704E-2</v>
      </c>
      <c r="F46" s="25">
        <f t="shared" si="2"/>
        <v>1159.4440237525885</v>
      </c>
      <c r="G46" s="26">
        <f t="shared" si="3"/>
        <v>57.972201187629423</v>
      </c>
      <c r="H46" s="26">
        <f t="shared" si="0"/>
        <v>1217.4162249402179</v>
      </c>
    </row>
    <row r="47" spans="1:12" customFormat="1" x14ac:dyDescent="0.25">
      <c r="A47" s="20" t="s">
        <v>107</v>
      </c>
      <c r="B47" s="21" t="s">
        <v>108</v>
      </c>
      <c r="C47" s="22">
        <v>42579914000107</v>
      </c>
      <c r="D47" s="23">
        <v>4986.3599999999997</v>
      </c>
      <c r="E47" s="24">
        <f t="shared" si="1"/>
        <v>1.6513109588131979E-2</v>
      </c>
      <c r="F47" s="25">
        <f t="shared" si="2"/>
        <v>1401.9912414498006</v>
      </c>
      <c r="G47" s="26">
        <f t="shared" si="3"/>
        <v>70.099562072490031</v>
      </c>
      <c r="H47" s="26">
        <f t="shared" si="0"/>
        <v>1472.0908035222906</v>
      </c>
    </row>
    <row r="48" spans="1:12" customFormat="1" x14ac:dyDescent="0.25">
      <c r="A48" s="20" t="s">
        <v>109</v>
      </c>
      <c r="B48" s="21" t="s">
        <v>110</v>
      </c>
      <c r="C48" s="22" t="s">
        <v>111</v>
      </c>
      <c r="D48" s="23">
        <v>7462</v>
      </c>
      <c r="E48" s="24">
        <f t="shared" si="1"/>
        <v>2.4711577933931934E-2</v>
      </c>
      <c r="F48" s="25">
        <f t="shared" si="2"/>
        <v>2098.055223389088</v>
      </c>
      <c r="G48" s="26">
        <f t="shared" si="3"/>
        <v>104.90276116945441</v>
      </c>
      <c r="H48" s="26">
        <f t="shared" si="0"/>
        <v>2202.9579845585426</v>
      </c>
    </row>
    <row r="49" spans="1:13" customFormat="1" x14ac:dyDescent="0.25">
      <c r="A49" s="20" t="s">
        <v>112</v>
      </c>
      <c r="B49" s="21" t="s">
        <v>113</v>
      </c>
      <c r="C49" s="22" t="s">
        <v>114</v>
      </c>
      <c r="D49" s="23">
        <v>5525</v>
      </c>
      <c r="E49" s="24">
        <f t="shared" si="1"/>
        <v>1.8296900038190018E-2</v>
      </c>
      <c r="F49" s="25">
        <f t="shared" si="2"/>
        <v>1553.4381009413978</v>
      </c>
      <c r="G49" s="26">
        <f t="shared" si="3"/>
        <v>77.671905047069899</v>
      </c>
      <c r="H49" s="26">
        <f t="shared" si="0"/>
        <v>1631.1100059884677</v>
      </c>
    </row>
    <row r="50" spans="1:13" customFormat="1" x14ac:dyDescent="0.25">
      <c r="A50" s="20" t="s">
        <v>115</v>
      </c>
      <c r="B50" s="21" t="s">
        <v>116</v>
      </c>
      <c r="C50" s="22">
        <v>26480299000112</v>
      </c>
      <c r="D50" s="23"/>
      <c r="E50" s="24">
        <f t="shared" si="1"/>
        <v>0</v>
      </c>
      <c r="F50" s="25">
        <f t="shared" si="2"/>
        <v>0</v>
      </c>
      <c r="G50" s="26">
        <f t="shared" si="3"/>
        <v>0</v>
      </c>
      <c r="H50" s="26">
        <f t="shared" si="0"/>
        <v>0</v>
      </c>
    </row>
    <row r="51" spans="1:13" customFormat="1" x14ac:dyDescent="0.25">
      <c r="A51" s="20" t="s">
        <v>117</v>
      </c>
      <c r="B51" s="21" t="s">
        <v>118</v>
      </c>
      <c r="C51" s="22" t="s">
        <v>119</v>
      </c>
      <c r="D51" s="23">
        <v>4943</v>
      </c>
      <c r="E51" s="24">
        <f t="shared" si="1"/>
        <v>1.6369516178963487E-2</v>
      </c>
      <c r="F51" s="25">
        <f t="shared" si="2"/>
        <v>1389.7999154666659</v>
      </c>
      <c r="G51" s="26">
        <f t="shared" si="3"/>
        <v>69.489995773333291</v>
      </c>
      <c r="H51" s="26">
        <f t="shared" si="0"/>
        <v>1459.2899112399991</v>
      </c>
    </row>
    <row r="52" spans="1:13" customFormat="1" x14ac:dyDescent="0.25">
      <c r="A52" s="20" t="s">
        <v>120</v>
      </c>
      <c r="B52" s="21" t="s">
        <v>121</v>
      </c>
      <c r="C52" s="22">
        <v>12997366000166</v>
      </c>
      <c r="D52" s="23">
        <v>5160</v>
      </c>
      <c r="E52" s="24">
        <f t="shared" si="1"/>
        <v>1.7088145556029052E-2</v>
      </c>
      <c r="F52" s="25">
        <f t="shared" si="2"/>
        <v>1450.8127784357671</v>
      </c>
      <c r="G52" s="26">
        <f t="shared" si="3"/>
        <v>72.540638921788357</v>
      </c>
      <c r="H52" s="26">
        <f t="shared" si="0"/>
        <v>1523.3534173575554</v>
      </c>
    </row>
    <row r="53" spans="1:13" customFormat="1" ht="16.5" customHeight="1" x14ac:dyDescent="0.25">
      <c r="A53" s="20" t="s">
        <v>122</v>
      </c>
      <c r="B53" s="21" t="s">
        <v>123</v>
      </c>
      <c r="C53" s="22" t="s">
        <v>124</v>
      </c>
      <c r="D53" s="23">
        <v>6586</v>
      </c>
      <c r="E53" s="24">
        <f t="shared" si="1"/>
        <v>2.1810567176745607E-2</v>
      </c>
      <c r="F53" s="25">
        <f t="shared" si="2"/>
        <v>1851.754449375574</v>
      </c>
      <c r="G53" s="26">
        <f t="shared" si="3"/>
        <v>92.587722468778708</v>
      </c>
      <c r="H53" s="26">
        <f t="shared" si="0"/>
        <v>1944.3421718443528</v>
      </c>
    </row>
    <row r="54" spans="1:13" customFormat="1" x14ac:dyDescent="0.25">
      <c r="A54" s="20" t="s">
        <v>125</v>
      </c>
      <c r="B54" s="21" t="s">
        <v>126</v>
      </c>
      <c r="C54" s="22">
        <v>11884518000151</v>
      </c>
      <c r="D54" s="23">
        <v>5644</v>
      </c>
      <c r="E54" s="24">
        <f t="shared" si="1"/>
        <v>1.8690987115935653E-2</v>
      </c>
      <c r="F54" s="25">
        <f t="shared" si="2"/>
        <v>1586.8967677309049</v>
      </c>
      <c r="G54" s="26">
        <f t="shared" si="3"/>
        <v>79.344838386545248</v>
      </c>
      <c r="H54" s="26">
        <f t="shared" si="0"/>
        <v>1666.2416061174501</v>
      </c>
      <c r="M54" s="45"/>
    </row>
    <row r="55" spans="1:13" customFormat="1" x14ac:dyDescent="0.25">
      <c r="A55" s="20" t="s">
        <v>127</v>
      </c>
      <c r="B55" s="21" t="s">
        <v>128</v>
      </c>
      <c r="C55" s="22">
        <v>36188051000136</v>
      </c>
      <c r="D55" s="23">
        <v>6936</v>
      </c>
      <c r="E55" s="24">
        <f t="shared" si="1"/>
        <v>2.2969646817173933E-2</v>
      </c>
      <c r="F55" s="25">
        <f t="shared" si="2"/>
        <v>1950.162292874124</v>
      </c>
      <c r="G55" s="26">
        <f t="shared" si="3"/>
        <v>97.508114643706207</v>
      </c>
      <c r="H55" s="26">
        <f t="shared" si="0"/>
        <v>2047.6704075178302</v>
      </c>
    </row>
    <row r="56" spans="1:13" customFormat="1" x14ac:dyDescent="0.25">
      <c r="A56" s="20" t="s">
        <v>129</v>
      </c>
      <c r="B56" s="21" t="s">
        <v>130</v>
      </c>
      <c r="C56" s="22" t="s">
        <v>131</v>
      </c>
      <c r="D56" s="23">
        <f>7425*40%</f>
        <v>2970</v>
      </c>
      <c r="E56" s="24">
        <f t="shared" si="1"/>
        <v>9.8356186630632319E-3</v>
      </c>
      <c r="F56" s="25">
        <f t="shared" si="2"/>
        <v>835.0608434019822</v>
      </c>
      <c r="G56" s="26">
        <f t="shared" si="3"/>
        <v>41.753042170099114</v>
      </c>
      <c r="H56" s="26">
        <f t="shared" si="0"/>
        <v>876.81388557208129</v>
      </c>
    </row>
    <row r="57" spans="1:13" customFormat="1" x14ac:dyDescent="0.25">
      <c r="A57" s="20" t="s">
        <v>132</v>
      </c>
      <c r="B57" s="21" t="s">
        <v>133</v>
      </c>
      <c r="C57" s="22">
        <v>18741082000190</v>
      </c>
      <c r="D57" s="23">
        <v>12183</v>
      </c>
      <c r="E57" s="24">
        <f t="shared" si="1"/>
        <v>4.0345906455252309E-2</v>
      </c>
      <c r="F57" s="25">
        <f t="shared" si="2"/>
        <v>3425.436449550959</v>
      </c>
      <c r="G57" s="26">
        <f t="shared" si="3"/>
        <v>171.27182247754797</v>
      </c>
      <c r="H57" s="26">
        <f t="shared" si="0"/>
        <v>3596.7082720285071</v>
      </c>
    </row>
    <row r="58" spans="1:13" customFormat="1" x14ac:dyDescent="0.25">
      <c r="A58" s="20" t="s">
        <v>134</v>
      </c>
      <c r="B58" s="21" t="s">
        <v>135</v>
      </c>
      <c r="C58" s="22" t="s">
        <v>136</v>
      </c>
      <c r="D58" s="23">
        <v>4814</v>
      </c>
      <c r="E58" s="24">
        <f t="shared" si="1"/>
        <v>1.5942312540062762E-2</v>
      </c>
      <c r="F58" s="25">
        <f t="shared" si="2"/>
        <v>1353.529596005772</v>
      </c>
      <c r="G58" s="26">
        <f t="shared" si="3"/>
        <v>67.676479800288604</v>
      </c>
      <c r="H58" s="26">
        <f t="shared" si="0"/>
        <v>1421.2060758060607</v>
      </c>
    </row>
    <row r="59" spans="1:13" customFormat="1" x14ac:dyDescent="0.25">
      <c r="A59" s="20" t="s">
        <v>137</v>
      </c>
      <c r="B59" s="21" t="s">
        <v>138</v>
      </c>
      <c r="C59" s="22" t="s">
        <v>139</v>
      </c>
      <c r="D59" s="23">
        <v>3476.86</v>
      </c>
      <c r="E59" s="24">
        <f t="shared" si="1"/>
        <v>1.1514164681770382E-2</v>
      </c>
      <c r="F59" s="25">
        <f t="shared" si="2"/>
        <v>977.57227070391116</v>
      </c>
      <c r="G59" s="26">
        <f t="shared" si="3"/>
        <v>48.878613535195562</v>
      </c>
      <c r="H59" s="26">
        <f t="shared" si="0"/>
        <v>1026.4508842391067</v>
      </c>
    </row>
    <row r="60" spans="1:13" customFormat="1" x14ac:dyDescent="0.25">
      <c r="A60" s="20" t="s">
        <v>140</v>
      </c>
      <c r="B60" s="28" t="s">
        <v>141</v>
      </c>
      <c r="C60" s="22">
        <v>11884518000151</v>
      </c>
      <c r="D60" s="23">
        <f>81377.44-14717-3314-9239+11302+4126.33</f>
        <v>69535.77</v>
      </c>
      <c r="E60" s="24">
        <f t="shared" si="1"/>
        <v>0.23027855796716246</v>
      </c>
      <c r="F60" s="25">
        <f t="shared" si="2"/>
        <v>19551.043347746214</v>
      </c>
      <c r="G60" s="26">
        <f t="shared" si="3"/>
        <v>977.55216738731076</v>
      </c>
      <c r="H60" s="26">
        <f t="shared" si="0"/>
        <v>20528.595515133526</v>
      </c>
    </row>
    <row r="61" spans="1:13" customFormat="1" x14ac:dyDescent="0.25">
      <c r="A61" s="34"/>
      <c r="B61" s="35"/>
      <c r="C61" s="36" t="s">
        <v>142</v>
      </c>
      <c r="D61" s="37">
        <f>SUM(D20:D60)</f>
        <v>301963.71999999997</v>
      </c>
      <c r="E61" s="38">
        <f>SUM(E20:E60)</f>
        <v>1</v>
      </c>
      <c r="F61" s="39">
        <f>SUM(F20:F60)</f>
        <v>84901.709999999992</v>
      </c>
      <c r="G61" s="39">
        <f>SUM(G20:G60)</f>
        <v>4245.0855000000001</v>
      </c>
      <c r="H61" s="40">
        <f>SUM(H20:H60)</f>
        <v>89146.795499999993</v>
      </c>
    </row>
    <row r="62" spans="1:13" customFormat="1" x14ac:dyDescent="0.25">
      <c r="F62" s="41"/>
    </row>
    <row r="63" spans="1:13" customFormat="1" x14ac:dyDescent="0.25">
      <c r="F63" s="41"/>
    </row>
    <row r="64" spans="1:13" customFormat="1" x14ac:dyDescent="0.25">
      <c r="B64" s="115" t="s">
        <v>143</v>
      </c>
      <c r="C64" s="115"/>
      <c r="F64" s="41"/>
    </row>
    <row r="65" spans="2:8" customFormat="1" x14ac:dyDescent="0.25">
      <c r="B65" s="116" t="s">
        <v>144</v>
      </c>
      <c r="C65" s="117"/>
      <c r="E65" s="41"/>
      <c r="H65" s="42"/>
    </row>
    <row r="66" spans="2:8" customFormat="1" x14ac:dyDescent="0.25">
      <c r="E66" s="41"/>
      <c r="H66" s="43"/>
    </row>
    <row r="67" spans="2:8" customFormat="1" x14ac:dyDescent="0.25">
      <c r="D67" s="44"/>
      <c r="E67" s="41"/>
      <c r="H67" s="42"/>
    </row>
    <row r="68" spans="2:8" customFormat="1" x14ac:dyDescent="0.25">
      <c r="E68" s="41"/>
    </row>
    <row r="69" spans="2:8" customFormat="1" x14ac:dyDescent="0.25"/>
    <row r="70" spans="2:8" customFormat="1" x14ac:dyDescent="0.25"/>
    <row r="71" spans="2:8" customFormat="1" x14ac:dyDescent="0.25"/>
    <row r="72" spans="2:8" customFormat="1" x14ac:dyDescent="0.25"/>
    <row r="73" spans="2:8" customFormat="1" x14ac:dyDescent="0.25"/>
    <row r="74" spans="2:8" customFormat="1" x14ac:dyDescent="0.25"/>
    <row r="75" spans="2:8" customFormat="1" x14ac:dyDescent="0.25"/>
    <row r="76" spans="2:8" customFormat="1" x14ac:dyDescent="0.25"/>
    <row r="77" spans="2:8" customFormat="1" x14ac:dyDescent="0.25"/>
    <row r="78" spans="2:8" customFormat="1" x14ac:dyDescent="0.25"/>
    <row r="79" spans="2:8" customFormat="1" x14ac:dyDescent="0.25"/>
    <row r="80" spans="2:8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spans="1:8" customFormat="1" x14ac:dyDescent="0.25"/>
    <row r="146" spans="1:8" customFormat="1" x14ac:dyDescent="0.25"/>
    <row r="147" spans="1:8" customFormat="1" x14ac:dyDescent="0.25"/>
    <row r="148" spans="1:8" customFormat="1" x14ac:dyDescent="0.25">
      <c r="A148" s="45"/>
      <c r="B148" s="45"/>
      <c r="C148" s="45"/>
      <c r="D148" s="45"/>
      <c r="E148" s="45"/>
    </row>
    <row r="149" spans="1:8" x14ac:dyDescent="0.25">
      <c r="F149"/>
      <c r="G149"/>
      <c r="H149"/>
    </row>
    <row r="150" spans="1:8" x14ac:dyDescent="0.25">
      <c r="F150"/>
      <c r="G150"/>
      <c r="H150"/>
    </row>
    <row r="151" spans="1:8" x14ac:dyDescent="0.25">
      <c r="F151"/>
      <c r="G151"/>
      <c r="H151"/>
    </row>
    <row r="152" spans="1:8" x14ac:dyDescent="0.25">
      <c r="F152"/>
      <c r="G152"/>
      <c r="H152"/>
    </row>
    <row r="153" spans="1:8" x14ac:dyDescent="0.25">
      <c r="F153"/>
      <c r="G153"/>
      <c r="H153"/>
    </row>
    <row r="154" spans="1:8" x14ac:dyDescent="0.25">
      <c r="F154"/>
      <c r="G154"/>
      <c r="H154"/>
    </row>
    <row r="155" spans="1:8" x14ac:dyDescent="0.25">
      <c r="F155"/>
      <c r="G155"/>
      <c r="H155"/>
    </row>
    <row r="156" spans="1:8" x14ac:dyDescent="0.25">
      <c r="F156"/>
      <c r="G156"/>
      <c r="H156"/>
    </row>
    <row r="157" spans="1:8" x14ac:dyDescent="0.25">
      <c r="F157"/>
      <c r="G157"/>
      <c r="H157"/>
    </row>
    <row r="158" spans="1:8" x14ac:dyDescent="0.25">
      <c r="F158"/>
      <c r="G158"/>
      <c r="H158"/>
    </row>
    <row r="159" spans="1:8" x14ac:dyDescent="0.25">
      <c r="F159"/>
      <c r="G159"/>
      <c r="H159"/>
    </row>
    <row r="160" spans="1:8" x14ac:dyDescent="0.25">
      <c r="F160"/>
      <c r="G160"/>
      <c r="H160"/>
    </row>
    <row r="161" spans="6:8" x14ac:dyDescent="0.25">
      <c r="F161"/>
      <c r="G161"/>
      <c r="H161"/>
    </row>
    <row r="162" spans="6:8" x14ac:dyDescent="0.25">
      <c r="F162"/>
      <c r="G162"/>
      <c r="H162"/>
    </row>
    <row r="163" spans="6:8" x14ac:dyDescent="0.25">
      <c r="F163"/>
      <c r="G163"/>
      <c r="H163"/>
    </row>
    <row r="164" spans="6:8" x14ac:dyDescent="0.25">
      <c r="F164"/>
      <c r="G164"/>
      <c r="H164"/>
    </row>
    <row r="165" spans="6:8" x14ac:dyDescent="0.25">
      <c r="F165"/>
      <c r="G165"/>
      <c r="H165"/>
    </row>
    <row r="166" spans="6:8" x14ac:dyDescent="0.25">
      <c r="F166"/>
      <c r="G166"/>
      <c r="H166"/>
    </row>
    <row r="167" spans="6:8" x14ac:dyDescent="0.25">
      <c r="F167"/>
      <c r="G167"/>
      <c r="H167"/>
    </row>
    <row r="168" spans="6:8" x14ac:dyDescent="0.25">
      <c r="F168"/>
      <c r="G168"/>
      <c r="H168"/>
    </row>
    <row r="169" spans="6:8" x14ac:dyDescent="0.25">
      <c r="F169"/>
      <c r="G169"/>
      <c r="H169"/>
    </row>
    <row r="170" spans="6:8" x14ac:dyDescent="0.25">
      <c r="F170"/>
      <c r="G170"/>
      <c r="H170"/>
    </row>
    <row r="171" spans="6:8" x14ac:dyDescent="0.25">
      <c r="F171"/>
      <c r="G171"/>
      <c r="H171"/>
    </row>
    <row r="172" spans="6:8" x14ac:dyDescent="0.25">
      <c r="F172"/>
      <c r="G172"/>
      <c r="H172"/>
    </row>
    <row r="173" spans="6:8" x14ac:dyDescent="0.25">
      <c r="F173"/>
      <c r="G173"/>
      <c r="H173"/>
    </row>
    <row r="174" spans="6:8" x14ac:dyDescent="0.25">
      <c r="F174"/>
      <c r="G174"/>
      <c r="H174"/>
    </row>
    <row r="175" spans="6:8" x14ac:dyDescent="0.25">
      <c r="F175"/>
      <c r="G175"/>
      <c r="H175"/>
    </row>
    <row r="176" spans="6:8" x14ac:dyDescent="0.25">
      <c r="F176"/>
      <c r="G176"/>
      <c r="H176"/>
    </row>
    <row r="177" spans="6:8" x14ac:dyDescent="0.25">
      <c r="F177"/>
      <c r="G177"/>
      <c r="H177"/>
    </row>
    <row r="178" spans="6:8" x14ac:dyDescent="0.25">
      <c r="F178"/>
      <c r="G178"/>
      <c r="H178"/>
    </row>
    <row r="179" spans="6:8" x14ac:dyDescent="0.25">
      <c r="F179"/>
      <c r="G179"/>
      <c r="H179"/>
    </row>
    <row r="180" spans="6:8" x14ac:dyDescent="0.25">
      <c r="F180"/>
      <c r="G180"/>
      <c r="H180"/>
    </row>
    <row r="181" spans="6:8" x14ac:dyDescent="0.25">
      <c r="F181"/>
      <c r="G181"/>
      <c r="H181"/>
    </row>
    <row r="182" spans="6:8" x14ac:dyDescent="0.25">
      <c r="F182"/>
      <c r="G182"/>
      <c r="H182"/>
    </row>
    <row r="183" spans="6:8" x14ac:dyDescent="0.25">
      <c r="F183"/>
      <c r="G183"/>
      <c r="H183"/>
    </row>
    <row r="184" spans="6:8" x14ac:dyDescent="0.25">
      <c r="F184"/>
      <c r="G184"/>
      <c r="H184"/>
    </row>
    <row r="185" spans="6:8" x14ac:dyDescent="0.25">
      <c r="F185"/>
      <c r="G185"/>
      <c r="H185"/>
    </row>
    <row r="186" spans="6:8" x14ac:dyDescent="0.25">
      <c r="F186"/>
      <c r="G186"/>
      <c r="H186"/>
    </row>
    <row r="187" spans="6:8" x14ac:dyDescent="0.25">
      <c r="F187"/>
      <c r="G187"/>
      <c r="H187"/>
    </row>
    <row r="188" spans="6:8" x14ac:dyDescent="0.25">
      <c r="F188"/>
      <c r="G188"/>
      <c r="H188"/>
    </row>
    <row r="189" spans="6:8" x14ac:dyDescent="0.25">
      <c r="F189"/>
      <c r="G189"/>
      <c r="H189"/>
    </row>
    <row r="190" spans="6:8" x14ac:dyDescent="0.25">
      <c r="F190"/>
      <c r="G190"/>
      <c r="H190"/>
    </row>
    <row r="191" spans="6:8" x14ac:dyDescent="0.25">
      <c r="F191"/>
      <c r="G191"/>
      <c r="H191"/>
    </row>
    <row r="192" spans="6:8" x14ac:dyDescent="0.25">
      <c r="F192"/>
      <c r="G192"/>
      <c r="H192"/>
    </row>
    <row r="193" spans="6:8" x14ac:dyDescent="0.25">
      <c r="F193"/>
      <c r="G193"/>
      <c r="H193"/>
    </row>
    <row r="194" spans="6:8" x14ac:dyDescent="0.25">
      <c r="F194"/>
      <c r="G194"/>
      <c r="H194"/>
    </row>
    <row r="195" spans="6:8" x14ac:dyDescent="0.25">
      <c r="F195"/>
      <c r="G195"/>
      <c r="H195"/>
    </row>
    <row r="196" spans="6:8" x14ac:dyDescent="0.25">
      <c r="F196"/>
      <c r="G196"/>
      <c r="H196"/>
    </row>
    <row r="197" spans="6:8" x14ac:dyDescent="0.25">
      <c r="F197"/>
      <c r="G197"/>
      <c r="H197"/>
    </row>
    <row r="198" spans="6:8" x14ac:dyDescent="0.25">
      <c r="F198"/>
      <c r="G198"/>
      <c r="H198"/>
    </row>
    <row r="199" spans="6:8" x14ac:dyDescent="0.25">
      <c r="F199"/>
      <c r="G199"/>
      <c r="H199"/>
    </row>
    <row r="200" spans="6:8" x14ac:dyDescent="0.25">
      <c r="F200"/>
      <c r="G200"/>
      <c r="H200"/>
    </row>
    <row r="201" spans="6:8" x14ac:dyDescent="0.25">
      <c r="F201"/>
      <c r="G201"/>
      <c r="H201"/>
    </row>
    <row r="202" spans="6:8" x14ac:dyDescent="0.25">
      <c r="F202"/>
      <c r="G202"/>
      <c r="H202"/>
    </row>
    <row r="203" spans="6:8" x14ac:dyDescent="0.25">
      <c r="F203"/>
      <c r="G203"/>
      <c r="H203"/>
    </row>
    <row r="204" spans="6:8" x14ac:dyDescent="0.25">
      <c r="F204"/>
      <c r="G204"/>
      <c r="H204"/>
    </row>
    <row r="205" spans="6:8" x14ac:dyDescent="0.25">
      <c r="F205"/>
      <c r="G205"/>
      <c r="H205"/>
    </row>
    <row r="206" spans="6:8" x14ac:dyDescent="0.25">
      <c r="F206"/>
      <c r="G206"/>
      <c r="H206"/>
    </row>
    <row r="207" spans="6:8" x14ac:dyDescent="0.25">
      <c r="F207"/>
      <c r="G207"/>
      <c r="H207"/>
    </row>
    <row r="208" spans="6:8" x14ac:dyDescent="0.25">
      <c r="F208"/>
      <c r="G208"/>
      <c r="H208"/>
    </row>
    <row r="209" spans="6:8" x14ac:dyDescent="0.25">
      <c r="F209"/>
      <c r="G209"/>
      <c r="H209"/>
    </row>
    <row r="210" spans="6:8" x14ac:dyDescent="0.25">
      <c r="F210"/>
      <c r="G210"/>
      <c r="H210"/>
    </row>
    <row r="211" spans="6:8" x14ac:dyDescent="0.25">
      <c r="F211"/>
      <c r="G211"/>
      <c r="H211"/>
    </row>
    <row r="212" spans="6:8" x14ac:dyDescent="0.25">
      <c r="F212"/>
      <c r="G212"/>
      <c r="H212"/>
    </row>
    <row r="213" spans="6:8" x14ac:dyDescent="0.25">
      <c r="F213"/>
      <c r="G213"/>
      <c r="H213"/>
    </row>
    <row r="214" spans="6:8" x14ac:dyDescent="0.25">
      <c r="F214"/>
      <c r="G214"/>
      <c r="H214"/>
    </row>
    <row r="215" spans="6:8" x14ac:dyDescent="0.25">
      <c r="F215"/>
      <c r="G215"/>
      <c r="H215"/>
    </row>
    <row r="216" spans="6:8" x14ac:dyDescent="0.25">
      <c r="F216"/>
      <c r="G216"/>
      <c r="H216"/>
    </row>
    <row r="217" spans="6:8" x14ac:dyDescent="0.25">
      <c r="F217"/>
      <c r="G217"/>
      <c r="H217"/>
    </row>
    <row r="218" spans="6:8" x14ac:dyDescent="0.25">
      <c r="F218"/>
      <c r="G218"/>
      <c r="H218"/>
    </row>
    <row r="219" spans="6:8" x14ac:dyDescent="0.25">
      <c r="F219"/>
      <c r="G219"/>
      <c r="H219"/>
    </row>
    <row r="220" spans="6:8" x14ac:dyDescent="0.25">
      <c r="F220"/>
      <c r="G220"/>
      <c r="H220"/>
    </row>
    <row r="221" spans="6:8" x14ac:dyDescent="0.25">
      <c r="F221"/>
      <c r="G221"/>
      <c r="H221"/>
    </row>
    <row r="222" spans="6:8" x14ac:dyDescent="0.25">
      <c r="F222"/>
      <c r="G222"/>
      <c r="H222"/>
    </row>
    <row r="223" spans="6:8" x14ac:dyDescent="0.25">
      <c r="F223"/>
      <c r="G223"/>
      <c r="H223"/>
    </row>
    <row r="224" spans="6:8" x14ac:dyDescent="0.25">
      <c r="F224"/>
      <c r="G224"/>
      <c r="H224"/>
    </row>
    <row r="225" spans="6:8" x14ac:dyDescent="0.25">
      <c r="F225"/>
      <c r="G225"/>
      <c r="H225"/>
    </row>
    <row r="226" spans="6:8" x14ac:dyDescent="0.25">
      <c r="F226"/>
      <c r="G226"/>
      <c r="H226"/>
    </row>
    <row r="227" spans="6:8" x14ac:dyDescent="0.25">
      <c r="F227"/>
      <c r="G227"/>
      <c r="H227"/>
    </row>
    <row r="228" spans="6:8" x14ac:dyDescent="0.25">
      <c r="F228"/>
      <c r="G228"/>
      <c r="H228"/>
    </row>
    <row r="229" spans="6:8" x14ac:dyDescent="0.25">
      <c r="F229"/>
      <c r="G229"/>
      <c r="H229"/>
    </row>
    <row r="230" spans="6:8" x14ac:dyDescent="0.25">
      <c r="G230"/>
      <c r="H230"/>
    </row>
  </sheetData>
  <mergeCells count="3">
    <mergeCell ref="B1:G1"/>
    <mergeCell ref="B64:C64"/>
    <mergeCell ref="B65:C65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2"/>
  <sheetViews>
    <sheetView topLeftCell="A38" workbookViewId="0">
      <selection activeCell="B36" sqref="B36"/>
    </sheetView>
  </sheetViews>
  <sheetFormatPr defaultColWidth="9.140625" defaultRowHeight="15" x14ac:dyDescent="0.25"/>
  <cols>
    <col min="1" max="1" width="29.5703125" style="45" customWidth="1"/>
    <col min="2" max="2" width="45.28515625" style="45" customWidth="1"/>
    <col min="3" max="3" width="29.7109375" style="45" customWidth="1"/>
    <col min="4" max="4" width="21.42578125" style="45" customWidth="1"/>
    <col min="5" max="5" width="17.42578125" style="45" customWidth="1"/>
    <col min="6" max="6" width="16.42578125" style="45" customWidth="1"/>
    <col min="7" max="7" width="17.140625" style="45" customWidth="1"/>
    <col min="8" max="8" width="16.85546875" style="45" bestFit="1" customWidth="1"/>
    <col min="9" max="16384" width="9.140625" style="45"/>
  </cols>
  <sheetData>
    <row r="1" spans="1:8" customFormat="1" ht="21.75" customHeight="1" x14ac:dyDescent="0.25">
      <c r="A1" s="46"/>
      <c r="B1" s="112" t="s">
        <v>0</v>
      </c>
      <c r="C1" s="113"/>
      <c r="D1" s="113"/>
      <c r="E1" s="113"/>
      <c r="F1" s="113"/>
      <c r="G1" s="114"/>
      <c r="H1" s="47"/>
    </row>
    <row r="2" spans="1:8" customFormat="1" ht="30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3"/>
      <c r="F2" s="4" t="s">
        <v>5</v>
      </c>
      <c r="G2" s="5"/>
      <c r="H2" s="6"/>
    </row>
    <row r="3" spans="1:8" customFormat="1" ht="30.6" customHeight="1" x14ac:dyDescent="0.25">
      <c r="A3" s="7">
        <v>1</v>
      </c>
      <c r="B3" s="8" t="s">
        <v>6</v>
      </c>
      <c r="C3" s="8"/>
      <c r="D3" s="9">
        <v>45658</v>
      </c>
      <c r="E3" s="9"/>
      <c r="F3" s="10">
        <f>532.69+550</f>
        <v>1082.69</v>
      </c>
      <c r="G3" s="5"/>
      <c r="H3" s="6"/>
    </row>
    <row r="4" spans="1:8" customFormat="1" ht="30.6" customHeight="1" x14ac:dyDescent="0.25">
      <c r="A4" s="7">
        <v>2</v>
      </c>
      <c r="B4" s="8" t="s">
        <v>7</v>
      </c>
      <c r="C4" s="8"/>
      <c r="D4" s="9">
        <v>45658</v>
      </c>
      <c r="E4" s="9"/>
      <c r="F4" s="10">
        <v>629.71</v>
      </c>
      <c r="G4" s="5"/>
      <c r="H4" s="11"/>
    </row>
    <row r="5" spans="1:8" customFormat="1" ht="30.6" customHeight="1" x14ac:dyDescent="0.25">
      <c r="A5" s="7">
        <v>3</v>
      </c>
      <c r="B5" s="8" t="s">
        <v>8</v>
      </c>
      <c r="C5" s="8" t="s">
        <v>9</v>
      </c>
      <c r="D5" s="9">
        <v>45658</v>
      </c>
      <c r="E5" s="9"/>
      <c r="F5" s="10">
        <f>30543.5+1110+370+1720.5+3256+10.74+5.67+1.22</f>
        <v>37017.629999999997</v>
      </c>
      <c r="G5" s="5"/>
      <c r="H5" s="11"/>
    </row>
    <row r="6" spans="1:8" customFormat="1" ht="30.6" customHeight="1" x14ac:dyDescent="0.25">
      <c r="A6" s="7">
        <v>4</v>
      </c>
      <c r="B6" s="8" t="s">
        <v>10</v>
      </c>
      <c r="C6" s="12" t="s">
        <v>11</v>
      </c>
      <c r="D6" s="9">
        <v>45658</v>
      </c>
      <c r="E6" s="9"/>
      <c r="F6" s="10">
        <f>38676.1+7.01</f>
        <v>38683.11</v>
      </c>
      <c r="G6" s="5"/>
      <c r="H6" s="11"/>
    </row>
    <row r="7" spans="1:8" customFormat="1" ht="30.6" customHeight="1" x14ac:dyDescent="0.25">
      <c r="A7" s="7">
        <v>5</v>
      </c>
      <c r="B7" s="8" t="s">
        <v>12</v>
      </c>
      <c r="C7" s="8"/>
      <c r="D7" s="9">
        <v>45658</v>
      </c>
      <c r="E7" s="9"/>
      <c r="F7" s="10">
        <v>373.75</v>
      </c>
      <c r="G7" s="5"/>
      <c r="H7" s="6"/>
    </row>
    <row r="8" spans="1:8" customFormat="1" ht="30.6" customHeight="1" x14ac:dyDescent="0.25">
      <c r="A8" s="7">
        <v>6</v>
      </c>
      <c r="B8" s="8" t="s">
        <v>13</v>
      </c>
      <c r="C8" s="8" t="s">
        <v>14</v>
      </c>
      <c r="D8" s="9">
        <v>45658</v>
      </c>
      <c r="E8" s="9"/>
      <c r="F8" s="13">
        <v>1412</v>
      </c>
      <c r="G8" s="5"/>
      <c r="H8" s="6"/>
    </row>
    <row r="9" spans="1:8" customFormat="1" ht="30.6" customHeight="1" x14ac:dyDescent="0.25">
      <c r="A9" s="7">
        <v>7</v>
      </c>
      <c r="B9" s="8" t="s">
        <v>15</v>
      </c>
      <c r="C9" s="8" t="s">
        <v>16</v>
      </c>
      <c r="D9" s="9">
        <v>45658</v>
      </c>
      <c r="E9" s="9"/>
      <c r="F9" s="13">
        <v>2500</v>
      </c>
      <c r="G9" s="5"/>
      <c r="H9" s="6"/>
    </row>
    <row r="10" spans="1:8" customFormat="1" ht="34.5" customHeight="1" x14ac:dyDescent="0.25">
      <c r="A10" s="7">
        <v>8</v>
      </c>
      <c r="B10" s="14" t="s">
        <v>17</v>
      </c>
      <c r="C10" s="12" t="s">
        <v>18</v>
      </c>
      <c r="D10" s="9">
        <v>45658</v>
      </c>
      <c r="E10" s="9"/>
      <c r="F10" s="13">
        <v>880</v>
      </c>
      <c r="G10" s="5"/>
      <c r="H10" s="6"/>
    </row>
    <row r="11" spans="1:8" customFormat="1" ht="30.6" customHeight="1" x14ac:dyDescent="0.25">
      <c r="A11" s="7">
        <v>9</v>
      </c>
      <c r="B11" s="14" t="s">
        <v>19</v>
      </c>
      <c r="C11" s="14" t="s">
        <v>20</v>
      </c>
      <c r="D11" s="9">
        <v>45658</v>
      </c>
      <c r="E11" s="9"/>
      <c r="F11" s="13">
        <v>214.34</v>
      </c>
      <c r="G11" s="5"/>
      <c r="H11" s="6"/>
    </row>
    <row r="12" spans="1:8" customFormat="1" ht="30.6" customHeight="1" x14ac:dyDescent="0.25">
      <c r="A12" s="7">
        <v>10</v>
      </c>
      <c r="B12" s="14" t="s">
        <v>21</v>
      </c>
      <c r="C12" s="12" t="s">
        <v>22</v>
      </c>
      <c r="D12" s="9">
        <v>45658</v>
      </c>
      <c r="E12" s="9"/>
      <c r="F12" s="13">
        <v>385</v>
      </c>
      <c r="G12" s="5"/>
      <c r="H12" s="15"/>
    </row>
    <row r="13" spans="1:8" customFormat="1" ht="30.6" customHeight="1" x14ac:dyDescent="0.25">
      <c r="A13" s="7">
        <v>11</v>
      </c>
      <c r="B13" s="14" t="s">
        <v>23</v>
      </c>
      <c r="C13" s="8"/>
      <c r="D13" s="9">
        <v>45658</v>
      </c>
      <c r="E13" s="9"/>
      <c r="F13" s="13">
        <v>70</v>
      </c>
      <c r="G13" s="5"/>
      <c r="H13" s="6"/>
    </row>
    <row r="14" spans="1:8" customFormat="1" ht="31.5" customHeight="1" x14ac:dyDescent="0.25">
      <c r="A14" s="7">
        <v>12</v>
      </c>
      <c r="B14" s="14" t="s">
        <v>24</v>
      </c>
      <c r="C14" s="12" t="s">
        <v>25</v>
      </c>
      <c r="D14" s="9">
        <v>45658</v>
      </c>
      <c r="E14" s="9"/>
      <c r="F14" s="13">
        <v>352.5</v>
      </c>
      <c r="G14" s="5"/>
      <c r="H14" s="6"/>
    </row>
    <row r="15" spans="1:8" customFormat="1" ht="31.5" customHeight="1" x14ac:dyDescent="0.25">
      <c r="A15" s="7">
        <v>12</v>
      </c>
      <c r="B15" s="14" t="s">
        <v>26</v>
      </c>
      <c r="C15" s="12" t="s">
        <v>27</v>
      </c>
      <c r="D15" s="9">
        <v>45658</v>
      </c>
      <c r="E15" s="9"/>
      <c r="F15" s="13">
        <v>72.59</v>
      </c>
      <c r="G15" s="5"/>
      <c r="H15" s="6"/>
    </row>
    <row r="16" spans="1:8" customFormat="1" ht="31.5" customHeight="1" x14ac:dyDescent="0.25">
      <c r="A16" s="7">
        <v>12</v>
      </c>
      <c r="B16" s="14" t="s">
        <v>26</v>
      </c>
      <c r="C16" s="12" t="s">
        <v>28</v>
      </c>
      <c r="D16" s="9">
        <v>45658</v>
      </c>
      <c r="E16" s="9"/>
      <c r="F16" s="13">
        <v>859</v>
      </c>
      <c r="G16" s="5"/>
      <c r="H16" s="6"/>
    </row>
    <row r="17" spans="1:12" customFormat="1" ht="34.5" customHeight="1" x14ac:dyDescent="0.25">
      <c r="A17" s="7">
        <v>13</v>
      </c>
      <c r="B17" s="14" t="s">
        <v>29</v>
      </c>
      <c r="C17" s="12" t="s">
        <v>30</v>
      </c>
      <c r="D17" s="9">
        <v>45658</v>
      </c>
      <c r="E17" s="9"/>
      <c r="F17" s="13">
        <v>369.39</v>
      </c>
      <c r="G17" s="5"/>
      <c r="H17" s="6"/>
    </row>
    <row r="18" spans="1:12" customFormat="1" ht="42" customHeight="1" x14ac:dyDescent="0.25">
      <c r="A18" s="48"/>
      <c r="B18" s="49" t="s">
        <v>31</v>
      </c>
      <c r="C18" s="50"/>
      <c r="D18" s="51"/>
      <c r="E18" s="52"/>
      <c r="F18" s="53">
        <f>SUM(F3:F17)</f>
        <v>84901.709999999992</v>
      </c>
      <c r="G18" s="54"/>
      <c r="H18" s="55"/>
    </row>
    <row r="19" spans="1:12" customFormat="1" ht="21.75" customHeight="1" x14ac:dyDescent="0.25">
      <c r="A19" s="16" t="s">
        <v>32</v>
      </c>
      <c r="B19" s="17" t="s">
        <v>33</v>
      </c>
      <c r="C19" s="18" t="s">
        <v>34</v>
      </c>
      <c r="D19" s="16" t="s">
        <v>35</v>
      </c>
      <c r="E19" s="16" t="s">
        <v>36</v>
      </c>
      <c r="F19" s="16" t="s">
        <v>37</v>
      </c>
      <c r="G19" s="19" t="s">
        <v>38</v>
      </c>
      <c r="H19" s="18" t="s">
        <v>39</v>
      </c>
    </row>
    <row r="20" spans="1:12" s="27" customFormat="1" ht="15" customHeight="1" x14ac:dyDescent="0.25">
      <c r="A20" s="20" t="s">
        <v>40</v>
      </c>
      <c r="B20" s="21" t="s">
        <v>41</v>
      </c>
      <c r="C20" s="22" t="s">
        <v>42</v>
      </c>
      <c r="D20" s="23">
        <v>4016</v>
      </c>
      <c r="E20" s="24">
        <f>D20/$D$63</f>
        <v>1.2610517083325563E-2</v>
      </c>
      <c r="F20" s="25">
        <f>$F$18*E20</f>
        <v>1070.6544643585528</v>
      </c>
      <c r="G20" s="26">
        <f>F20*5%</f>
        <v>53.532723217927639</v>
      </c>
      <c r="H20" s="26">
        <f t="shared" ref="H20:H62" si="0">F20+G20</f>
        <v>1124.1871875764805</v>
      </c>
    </row>
    <row r="21" spans="1:12" customFormat="1" x14ac:dyDescent="0.25">
      <c r="A21" s="20" t="s">
        <v>43</v>
      </c>
      <c r="B21" s="28" t="s">
        <v>44</v>
      </c>
      <c r="C21" s="22">
        <v>18778225000139</v>
      </c>
      <c r="D21" s="23">
        <v>8711.2199999999993</v>
      </c>
      <c r="E21" s="24">
        <f t="shared" ref="E21:E62" si="1">D21/$D$63</f>
        <v>2.7353831829334489E-2</v>
      </c>
      <c r="F21" s="25">
        <f t="shared" ref="F21:F62" si="2">$F$18*E21</f>
        <v>2322.3870973629259</v>
      </c>
      <c r="G21" s="26">
        <f t="shared" ref="G21:G62" si="3">F21*5%</f>
        <v>116.1193548681463</v>
      </c>
      <c r="H21" s="26">
        <f t="shared" si="0"/>
        <v>2438.5064522310722</v>
      </c>
    </row>
    <row r="22" spans="1:12" customFormat="1" x14ac:dyDescent="0.25">
      <c r="A22" s="20" t="s">
        <v>45</v>
      </c>
      <c r="B22" s="28" t="s">
        <v>46</v>
      </c>
      <c r="C22" s="22">
        <v>41993875000119</v>
      </c>
      <c r="D22" s="23">
        <v>3641.8</v>
      </c>
      <c r="E22" s="24">
        <f t="shared" si="1"/>
        <v>1.1435503265451952E-2</v>
      </c>
      <c r="F22" s="25">
        <f t="shared" si="2"/>
        <v>970.8937819474545</v>
      </c>
      <c r="G22" s="26">
        <f t="shared" si="3"/>
        <v>48.544689097372725</v>
      </c>
      <c r="H22" s="26">
        <f t="shared" si="0"/>
        <v>1019.4384710448272</v>
      </c>
    </row>
    <row r="23" spans="1:12" customFormat="1" x14ac:dyDescent="0.25">
      <c r="A23" s="20" t="s">
        <v>47</v>
      </c>
      <c r="B23" s="21" t="s">
        <v>48</v>
      </c>
      <c r="C23" s="22">
        <v>24781302000102</v>
      </c>
      <c r="D23" s="23">
        <v>3430</v>
      </c>
      <c r="E23" s="24">
        <f t="shared" si="1"/>
        <v>1.0770436652342301E-2</v>
      </c>
      <c r="F23" s="25">
        <f t="shared" si="2"/>
        <v>914.4284892305368</v>
      </c>
      <c r="G23" s="26">
        <f t="shared" si="3"/>
        <v>45.721424461526844</v>
      </c>
      <c r="H23" s="26">
        <f t="shared" si="0"/>
        <v>960.14991369206359</v>
      </c>
    </row>
    <row r="24" spans="1:12" customFormat="1" x14ac:dyDescent="0.25">
      <c r="A24" s="20" t="s">
        <v>49</v>
      </c>
      <c r="B24" s="21" t="s">
        <v>50</v>
      </c>
      <c r="C24" s="22">
        <v>38649716000197</v>
      </c>
      <c r="D24" s="23">
        <v>3440</v>
      </c>
      <c r="E24" s="24">
        <f t="shared" si="1"/>
        <v>1.0801837342290821E-2</v>
      </c>
      <c r="F24" s="25">
        <f t="shared" si="2"/>
        <v>917.09446150234589</v>
      </c>
      <c r="G24" s="26">
        <f t="shared" si="3"/>
        <v>45.854723075117299</v>
      </c>
      <c r="H24" s="26">
        <f t="shared" si="0"/>
        <v>962.94918457746314</v>
      </c>
    </row>
    <row r="25" spans="1:12" customFormat="1" x14ac:dyDescent="0.25">
      <c r="A25" s="20" t="s">
        <v>51</v>
      </c>
      <c r="B25" s="21" t="s">
        <v>52</v>
      </c>
      <c r="C25" s="22" t="s">
        <v>53</v>
      </c>
      <c r="D25" s="23">
        <v>4056</v>
      </c>
      <c r="E25" s="24">
        <f t="shared" si="1"/>
        <v>1.2736119843119642E-2</v>
      </c>
      <c r="F25" s="25">
        <f t="shared" si="2"/>
        <v>1081.3183534457892</v>
      </c>
      <c r="G25" s="26">
        <f t="shared" si="3"/>
        <v>54.065917672289459</v>
      </c>
      <c r="H25" s="26">
        <f t="shared" si="0"/>
        <v>1135.3842711180787</v>
      </c>
    </row>
    <row r="26" spans="1:12" customFormat="1" x14ac:dyDescent="0.25">
      <c r="A26" s="20" t="s">
        <v>54</v>
      </c>
      <c r="B26" s="21" t="s">
        <v>55</v>
      </c>
      <c r="C26" s="22" t="s">
        <v>56</v>
      </c>
      <c r="D26" s="23">
        <v>11580</v>
      </c>
      <c r="E26" s="24">
        <f t="shared" si="1"/>
        <v>3.6361998960385958E-2</v>
      </c>
      <c r="F26" s="25">
        <f t="shared" si="2"/>
        <v>3087.1958907549897</v>
      </c>
      <c r="G26" s="26">
        <f t="shared" si="3"/>
        <v>154.35979453774951</v>
      </c>
      <c r="H26" s="26">
        <f t="shared" si="0"/>
        <v>3241.5556852927393</v>
      </c>
    </row>
    <row r="27" spans="1:12" customFormat="1" x14ac:dyDescent="0.25">
      <c r="A27" s="20" t="s">
        <v>57</v>
      </c>
      <c r="B27" s="21" t="s">
        <v>58</v>
      </c>
      <c r="C27" s="22" t="s">
        <v>59</v>
      </c>
      <c r="D27" s="23">
        <f>360+360+1510</f>
        <v>2230</v>
      </c>
      <c r="E27" s="24">
        <f t="shared" si="1"/>
        <v>7.002353858519922E-3</v>
      </c>
      <c r="F27" s="25">
        <f t="shared" si="2"/>
        <v>594.51181661343935</v>
      </c>
      <c r="G27" s="26">
        <f t="shared" si="3"/>
        <v>29.725590830671969</v>
      </c>
      <c r="H27" s="26">
        <f t="shared" si="0"/>
        <v>624.23740744411134</v>
      </c>
    </row>
    <row r="28" spans="1:12" s="33" customFormat="1" ht="15.75" customHeight="1" x14ac:dyDescent="0.25">
      <c r="A28" s="20" t="s">
        <v>60</v>
      </c>
      <c r="B28" s="29" t="s">
        <v>61</v>
      </c>
      <c r="C28" s="30" t="s">
        <v>62</v>
      </c>
      <c r="D28" s="23">
        <f>5224+3930</f>
        <v>9154</v>
      </c>
      <c r="E28" s="24">
        <f t="shared" si="1"/>
        <v>2.8744191578875051E-2</v>
      </c>
      <c r="F28" s="25">
        <f t="shared" si="2"/>
        <v>2440.4310176140916</v>
      </c>
      <c r="G28" s="26">
        <f t="shared" si="3"/>
        <v>122.02155088070458</v>
      </c>
      <c r="H28" s="31">
        <f t="shared" si="0"/>
        <v>2562.4525684947962</v>
      </c>
      <c r="I28" s="32" t="s">
        <v>63</v>
      </c>
      <c r="L28" s="33" t="s">
        <v>64</v>
      </c>
    </row>
    <row r="29" spans="1:12" customFormat="1" ht="15.75" customHeight="1" x14ac:dyDescent="0.25">
      <c r="A29" s="20" t="s">
        <v>65</v>
      </c>
      <c r="B29" s="28" t="s">
        <v>66</v>
      </c>
      <c r="C29" s="22" t="s">
        <v>67</v>
      </c>
      <c r="D29" s="23">
        <v>2610</v>
      </c>
      <c r="E29" s="24">
        <f t="shared" si="1"/>
        <v>8.1955800765636747E-3</v>
      </c>
      <c r="F29" s="25">
        <f t="shared" si="2"/>
        <v>695.81876294218682</v>
      </c>
      <c r="G29" s="26">
        <f t="shared" si="3"/>
        <v>34.790938147109344</v>
      </c>
      <c r="H29" s="26">
        <f t="shared" si="0"/>
        <v>730.60970108929621</v>
      </c>
    </row>
    <row r="30" spans="1:12" customFormat="1" ht="15.75" customHeight="1" x14ac:dyDescent="0.25">
      <c r="A30" s="20" t="s">
        <v>68</v>
      </c>
      <c r="B30" s="28" t="s">
        <v>69</v>
      </c>
      <c r="C30" s="22" t="s">
        <v>70</v>
      </c>
      <c r="D30" s="23">
        <v>5515</v>
      </c>
      <c r="E30" s="24">
        <f t="shared" si="1"/>
        <v>1.7317480506608685E-2</v>
      </c>
      <c r="F30" s="25">
        <f t="shared" si="2"/>
        <v>1470.2837079027436</v>
      </c>
      <c r="G30" s="26">
        <f t="shared" si="3"/>
        <v>73.514185395137176</v>
      </c>
      <c r="H30" s="26">
        <f t="shared" si="0"/>
        <v>1543.7978932978808</v>
      </c>
    </row>
    <row r="31" spans="1:12" customFormat="1" ht="15.75" customHeight="1" x14ac:dyDescent="0.25">
      <c r="A31" s="20" t="s">
        <v>71</v>
      </c>
      <c r="B31" s="21" t="s">
        <v>72</v>
      </c>
      <c r="C31" s="22">
        <v>17202383000183</v>
      </c>
      <c r="D31" s="23">
        <v>15332</v>
      </c>
      <c r="E31" s="24">
        <f t="shared" si="1"/>
        <v>4.8143537829070597E-2</v>
      </c>
      <c r="F31" s="25">
        <f t="shared" si="2"/>
        <v>4087.4686871377812</v>
      </c>
      <c r="G31" s="26">
        <f t="shared" si="3"/>
        <v>204.37343435688908</v>
      </c>
      <c r="H31" s="26">
        <f t="shared" si="0"/>
        <v>4291.8421214946702</v>
      </c>
    </row>
    <row r="32" spans="1:12" customFormat="1" ht="15.75" customHeight="1" x14ac:dyDescent="0.25">
      <c r="A32" s="20" t="s">
        <v>73</v>
      </c>
      <c r="B32" s="21" t="s">
        <v>74</v>
      </c>
      <c r="C32" s="22">
        <v>18183488000103</v>
      </c>
      <c r="D32" s="23">
        <v>7238</v>
      </c>
      <c r="E32" s="24">
        <f t="shared" si="1"/>
        <v>2.272781938473865E-2</v>
      </c>
      <c r="F32" s="25">
        <f t="shared" si="2"/>
        <v>1929.6307303354592</v>
      </c>
      <c r="G32" s="26">
        <f t="shared" si="3"/>
        <v>96.481536516772962</v>
      </c>
      <c r="H32" s="26">
        <f t="shared" si="0"/>
        <v>2026.1122668522321</v>
      </c>
    </row>
    <row r="33" spans="1:12" customFormat="1" x14ac:dyDescent="0.25">
      <c r="A33" s="20" t="s">
        <v>75</v>
      </c>
      <c r="B33" s="21" t="s">
        <v>76</v>
      </c>
      <c r="C33" s="22">
        <v>18244070000150</v>
      </c>
      <c r="D33" s="23">
        <v>5941</v>
      </c>
      <c r="E33" s="24">
        <f t="shared" si="1"/>
        <v>1.8655149898415629E-2</v>
      </c>
      <c r="F33" s="25">
        <f t="shared" si="2"/>
        <v>1583.8541266818131</v>
      </c>
      <c r="G33" s="26">
        <f t="shared" si="3"/>
        <v>79.192706334090659</v>
      </c>
      <c r="H33" s="26">
        <f t="shared" si="0"/>
        <v>1663.0468330159038</v>
      </c>
    </row>
    <row r="34" spans="1:12" customFormat="1" x14ac:dyDescent="0.25">
      <c r="A34" s="20" t="s">
        <v>77</v>
      </c>
      <c r="B34" s="21" t="s">
        <v>78</v>
      </c>
      <c r="C34" s="22">
        <v>18244039000110</v>
      </c>
      <c r="D34" s="23">
        <v>4460</v>
      </c>
      <c r="E34" s="24">
        <f t="shared" si="1"/>
        <v>1.4004707717039844E-2</v>
      </c>
      <c r="F34" s="25">
        <f t="shared" si="2"/>
        <v>1189.0236332268787</v>
      </c>
      <c r="G34" s="26">
        <f t="shared" si="3"/>
        <v>59.451181661343938</v>
      </c>
      <c r="H34" s="26">
        <f t="shared" si="0"/>
        <v>1248.4748148882227</v>
      </c>
    </row>
    <row r="35" spans="1:12" customFormat="1" x14ac:dyDescent="0.25">
      <c r="A35" s="20" t="s">
        <v>79</v>
      </c>
      <c r="B35" s="21" t="s">
        <v>80</v>
      </c>
      <c r="C35" s="22">
        <v>15500591000133</v>
      </c>
      <c r="D35" s="23">
        <v>4415</v>
      </c>
      <c r="E35" s="24">
        <f t="shared" si="1"/>
        <v>1.3863404612271504E-2</v>
      </c>
      <c r="F35" s="25">
        <f t="shared" si="2"/>
        <v>1177.0267580037375</v>
      </c>
      <c r="G35" s="26">
        <f t="shared" si="3"/>
        <v>58.851337900186877</v>
      </c>
      <c r="H35" s="26">
        <f t="shared" si="0"/>
        <v>1235.8780959039245</v>
      </c>
    </row>
    <row r="36" spans="1:12" customFormat="1" x14ac:dyDescent="0.25">
      <c r="A36" s="20" t="s">
        <v>81</v>
      </c>
      <c r="B36" s="21" t="s">
        <v>82</v>
      </c>
      <c r="C36" s="22" t="s">
        <v>83</v>
      </c>
      <c r="D36" s="23">
        <v>8673</v>
      </c>
      <c r="E36" s="24">
        <f t="shared" si="1"/>
        <v>2.7233818392351245E-2</v>
      </c>
      <c r="F36" s="25">
        <f t="shared" si="2"/>
        <v>2312.1977513400716</v>
      </c>
      <c r="G36" s="26">
        <f t="shared" si="3"/>
        <v>115.60988756700358</v>
      </c>
      <c r="H36" s="26">
        <f t="shared" si="0"/>
        <v>2427.8076389070752</v>
      </c>
    </row>
    <row r="37" spans="1:12" customFormat="1" x14ac:dyDescent="0.25">
      <c r="A37" s="20" t="s">
        <v>84</v>
      </c>
      <c r="B37" s="21" t="s">
        <v>85</v>
      </c>
      <c r="C37" s="22" t="s">
        <v>86</v>
      </c>
      <c r="D37" s="23">
        <v>9239</v>
      </c>
      <c r="E37" s="24">
        <f t="shared" si="1"/>
        <v>2.901109744343747E-2</v>
      </c>
      <c r="F37" s="25">
        <f t="shared" si="2"/>
        <v>2463.0917819244692</v>
      </c>
      <c r="G37" s="26">
        <f t="shared" si="3"/>
        <v>123.15458909622346</v>
      </c>
      <c r="H37" s="26">
        <f t="shared" si="0"/>
        <v>2586.2463710206925</v>
      </c>
    </row>
    <row r="38" spans="1:12" customFormat="1" x14ac:dyDescent="0.25">
      <c r="A38" s="20" t="s">
        <v>87</v>
      </c>
      <c r="B38" s="21" t="s">
        <v>88</v>
      </c>
      <c r="C38" s="22" t="s">
        <v>89</v>
      </c>
      <c r="D38" s="23">
        <v>4892</v>
      </c>
      <c r="E38" s="24">
        <f t="shared" si="1"/>
        <v>1.53612175228159E-2</v>
      </c>
      <c r="F38" s="25">
        <f t="shared" si="2"/>
        <v>1304.1936353690337</v>
      </c>
      <c r="G38" s="26">
        <f t="shared" si="3"/>
        <v>65.209681768451688</v>
      </c>
      <c r="H38" s="26">
        <f t="shared" si="0"/>
        <v>1369.4033171374854</v>
      </c>
    </row>
    <row r="39" spans="1:12" customFormat="1" x14ac:dyDescent="0.25">
      <c r="A39" s="20" t="s">
        <v>90</v>
      </c>
      <c r="B39" s="21" t="s">
        <v>91</v>
      </c>
      <c r="C39" s="22">
        <v>41497649000147</v>
      </c>
      <c r="D39" s="23">
        <v>2526</v>
      </c>
      <c r="E39" s="24">
        <f t="shared" si="1"/>
        <v>7.9318142809961089E-3</v>
      </c>
      <c r="F39" s="25">
        <f t="shared" si="2"/>
        <v>673.42459585899007</v>
      </c>
      <c r="G39" s="26">
        <f t="shared" si="3"/>
        <v>33.671229792949504</v>
      </c>
      <c r="H39" s="26">
        <f t="shared" si="0"/>
        <v>707.09582565193955</v>
      </c>
    </row>
    <row r="40" spans="1:12" s="63" customFormat="1" x14ac:dyDescent="0.25">
      <c r="A40" s="56" t="s">
        <v>145</v>
      </c>
      <c r="B40" s="57" t="s">
        <v>146</v>
      </c>
      <c r="C40" s="58">
        <v>19209989000176</v>
      </c>
      <c r="D40" s="59">
        <v>15365.8</v>
      </c>
      <c r="E40" s="60">
        <f t="shared" si="1"/>
        <v>4.8249672161096595E-2</v>
      </c>
      <c r="F40" s="61">
        <f t="shared" si="2"/>
        <v>4096.4796734164956</v>
      </c>
      <c r="G40" s="62">
        <f t="shared" si="3"/>
        <v>204.82398367082479</v>
      </c>
      <c r="H40" s="62">
        <f>F40+G40</f>
        <v>4301.3036570873201</v>
      </c>
    </row>
    <row r="41" spans="1:12" customFormat="1" x14ac:dyDescent="0.25">
      <c r="A41" s="20" t="s">
        <v>92</v>
      </c>
      <c r="B41" s="21" t="s">
        <v>93</v>
      </c>
      <c r="C41" s="22">
        <v>40580071000125</v>
      </c>
      <c r="D41" s="23">
        <v>3600</v>
      </c>
      <c r="E41" s="24">
        <f t="shared" si="1"/>
        <v>1.1304248381467139E-2</v>
      </c>
      <c r="F41" s="25">
        <f t="shared" si="2"/>
        <v>959.75001785129223</v>
      </c>
      <c r="G41" s="26">
        <f t="shared" si="3"/>
        <v>47.987500892564611</v>
      </c>
      <c r="H41" s="26">
        <f t="shared" si="0"/>
        <v>1007.7375187438569</v>
      </c>
      <c r="I41" s="32" t="s">
        <v>63</v>
      </c>
      <c r="L41" t="s">
        <v>94</v>
      </c>
    </row>
    <row r="42" spans="1:12" customFormat="1" x14ac:dyDescent="0.25">
      <c r="A42" s="20" t="s">
        <v>95</v>
      </c>
      <c r="B42" s="21" t="s">
        <v>96</v>
      </c>
      <c r="C42" s="22" t="s">
        <v>97</v>
      </c>
      <c r="D42" s="23">
        <v>3938</v>
      </c>
      <c r="E42" s="24">
        <f t="shared" si="1"/>
        <v>1.2365591701727109E-2</v>
      </c>
      <c r="F42" s="25">
        <f t="shared" si="2"/>
        <v>1049.8598806384414</v>
      </c>
      <c r="G42" s="26">
        <f t="shared" si="3"/>
        <v>52.492994031922073</v>
      </c>
      <c r="H42" s="26">
        <f t="shared" si="0"/>
        <v>1102.3528746703635</v>
      </c>
    </row>
    <row r="43" spans="1:12" customFormat="1" x14ac:dyDescent="0.25">
      <c r="A43" s="20" t="s">
        <v>98</v>
      </c>
      <c r="B43" s="21" t="s">
        <v>99</v>
      </c>
      <c r="C43" s="22">
        <v>18788190000119</v>
      </c>
      <c r="D43" s="23">
        <v>3707</v>
      </c>
      <c r="E43" s="24">
        <f t="shared" si="1"/>
        <v>1.1640235763916301E-2</v>
      </c>
      <c r="F43" s="25">
        <f t="shared" si="2"/>
        <v>988.27592115965012</v>
      </c>
      <c r="G43" s="26">
        <f t="shared" si="3"/>
        <v>49.413796057982509</v>
      </c>
      <c r="H43" s="26">
        <f t="shared" si="0"/>
        <v>1037.6897172176327</v>
      </c>
    </row>
    <row r="44" spans="1:12" customFormat="1" x14ac:dyDescent="0.25">
      <c r="A44" s="20" t="s">
        <v>100</v>
      </c>
      <c r="B44" s="21" t="s">
        <v>101</v>
      </c>
      <c r="C44" s="22">
        <v>42109766000159</v>
      </c>
      <c r="D44" s="23">
        <v>5117</v>
      </c>
      <c r="E44" s="24">
        <f t="shared" si="1"/>
        <v>1.6067733046657595E-2</v>
      </c>
      <c r="F44" s="25">
        <f t="shared" si="2"/>
        <v>1364.1780114847395</v>
      </c>
      <c r="G44" s="26">
        <f t="shared" si="3"/>
        <v>68.208900574236978</v>
      </c>
      <c r="H44" s="26">
        <f t="shared" si="0"/>
        <v>1432.3869120589766</v>
      </c>
    </row>
    <row r="45" spans="1:12" customFormat="1" x14ac:dyDescent="0.25">
      <c r="A45" s="20" t="s">
        <v>102</v>
      </c>
      <c r="B45" s="21" t="s">
        <v>99</v>
      </c>
      <c r="C45" s="22">
        <v>18788190000119</v>
      </c>
      <c r="D45" s="23">
        <v>14717</v>
      </c>
      <c r="E45" s="24">
        <f t="shared" si="1"/>
        <v>4.6212395397236629E-2</v>
      </c>
      <c r="F45" s="25">
        <f t="shared" si="2"/>
        <v>3923.5113924215188</v>
      </c>
      <c r="G45" s="26">
        <f t="shared" si="3"/>
        <v>196.17556962107597</v>
      </c>
      <c r="H45" s="26">
        <f t="shared" si="0"/>
        <v>4119.686962042595</v>
      </c>
    </row>
    <row r="46" spans="1:12" customFormat="1" ht="13.5" customHeight="1" x14ac:dyDescent="0.25">
      <c r="A46" s="20" t="s">
        <v>103</v>
      </c>
      <c r="B46" s="21" t="s">
        <v>104</v>
      </c>
      <c r="C46" s="22">
        <v>32302613000170</v>
      </c>
      <c r="D46" s="23">
        <v>5439</v>
      </c>
      <c r="E46" s="24">
        <f t="shared" si="1"/>
        <v>1.7078835262999935E-2</v>
      </c>
      <c r="F46" s="25">
        <f t="shared" si="2"/>
        <v>1450.022318636994</v>
      </c>
      <c r="G46" s="26">
        <f t="shared" si="3"/>
        <v>72.501115931849696</v>
      </c>
      <c r="H46" s="26">
        <f t="shared" si="0"/>
        <v>1522.5234345688436</v>
      </c>
    </row>
    <row r="47" spans="1:12" customFormat="1" x14ac:dyDescent="0.25">
      <c r="A47" s="20" t="s">
        <v>105</v>
      </c>
      <c r="B47" s="21" t="s">
        <v>106</v>
      </c>
      <c r="C47" s="22">
        <v>28616552000148</v>
      </c>
      <c r="D47" s="23">
        <v>4123.71</v>
      </c>
      <c r="E47" s="24">
        <f t="shared" si="1"/>
        <v>1.2948733914761069E-2</v>
      </c>
      <c r="F47" s="25">
        <f t="shared" si="2"/>
        <v>1099.3696516982088</v>
      </c>
      <c r="G47" s="26">
        <f t="shared" si="3"/>
        <v>54.968482584910447</v>
      </c>
      <c r="H47" s="26">
        <f t="shared" si="0"/>
        <v>1154.3381342831192</v>
      </c>
    </row>
    <row r="48" spans="1:12" customFormat="1" x14ac:dyDescent="0.25">
      <c r="A48" s="20" t="s">
        <v>107</v>
      </c>
      <c r="B48" s="21" t="s">
        <v>108</v>
      </c>
      <c r="C48" s="22">
        <v>42579914000107</v>
      </c>
      <c r="D48" s="23">
        <v>4986.3599999999997</v>
      </c>
      <c r="E48" s="24">
        <f t="shared" si="1"/>
        <v>1.5657514433170133E-2</v>
      </c>
      <c r="F48" s="25">
        <f t="shared" si="2"/>
        <v>1329.3497497258249</v>
      </c>
      <c r="G48" s="26">
        <f t="shared" si="3"/>
        <v>66.467487486291247</v>
      </c>
      <c r="H48" s="26">
        <f t="shared" si="0"/>
        <v>1395.8172372121162</v>
      </c>
    </row>
    <row r="49" spans="1:8" customFormat="1" x14ac:dyDescent="0.25">
      <c r="A49" s="20" t="s">
        <v>109</v>
      </c>
      <c r="B49" s="21" t="s">
        <v>110</v>
      </c>
      <c r="C49" s="22" t="s">
        <v>111</v>
      </c>
      <c r="D49" s="23">
        <v>7462</v>
      </c>
      <c r="E49" s="24">
        <f t="shared" si="1"/>
        <v>2.3431194839585497E-2</v>
      </c>
      <c r="F49" s="25">
        <f t="shared" si="2"/>
        <v>1989.3485092239841</v>
      </c>
      <c r="G49" s="26">
        <f t="shared" si="3"/>
        <v>99.467425461199213</v>
      </c>
      <c r="H49" s="26">
        <f t="shared" si="0"/>
        <v>2088.8159346851835</v>
      </c>
    </row>
    <row r="50" spans="1:8" customFormat="1" x14ac:dyDescent="0.25">
      <c r="A50" s="20" t="s">
        <v>112</v>
      </c>
      <c r="B50" s="21" t="s">
        <v>113</v>
      </c>
      <c r="C50" s="22" t="s">
        <v>114</v>
      </c>
      <c r="D50" s="23">
        <v>5525</v>
      </c>
      <c r="E50" s="24">
        <f t="shared" si="1"/>
        <v>1.7348881196557205E-2</v>
      </c>
      <c r="F50" s="25">
        <f t="shared" si="2"/>
        <v>1472.9496801745527</v>
      </c>
      <c r="G50" s="26">
        <f t="shared" si="3"/>
        <v>73.647484008727631</v>
      </c>
      <c r="H50" s="26">
        <f t="shared" si="0"/>
        <v>1546.5971641832803</v>
      </c>
    </row>
    <row r="51" spans="1:8" customFormat="1" x14ac:dyDescent="0.25">
      <c r="A51" s="20" t="s">
        <v>115</v>
      </c>
      <c r="B51" s="21" t="s">
        <v>116</v>
      </c>
      <c r="C51" s="22">
        <v>26480299000112</v>
      </c>
      <c r="D51" s="23"/>
      <c r="E51" s="24">
        <f t="shared" si="1"/>
        <v>0</v>
      </c>
      <c r="F51" s="25">
        <f t="shared" si="2"/>
        <v>0</v>
      </c>
      <c r="G51" s="26">
        <f t="shared" si="3"/>
        <v>0</v>
      </c>
      <c r="H51" s="26">
        <f t="shared" si="0"/>
        <v>0</v>
      </c>
    </row>
    <row r="52" spans="1:8" customFormat="1" x14ac:dyDescent="0.25">
      <c r="A52" s="20" t="s">
        <v>117</v>
      </c>
      <c r="B52" s="21" t="s">
        <v>118</v>
      </c>
      <c r="C52" s="22" t="s">
        <v>119</v>
      </c>
      <c r="D52" s="23">
        <v>4943</v>
      </c>
      <c r="E52" s="24">
        <f t="shared" si="1"/>
        <v>1.552136104155335E-2</v>
      </c>
      <c r="F52" s="25">
        <f t="shared" si="2"/>
        <v>1317.7900939552603</v>
      </c>
      <c r="G52" s="26">
        <f t="shared" si="3"/>
        <v>65.889504697763016</v>
      </c>
      <c r="H52" s="26">
        <f t="shared" si="0"/>
        <v>1383.6795986530233</v>
      </c>
    </row>
    <row r="53" spans="1:8" customFormat="1" x14ac:dyDescent="0.25">
      <c r="A53" s="20" t="s">
        <v>120</v>
      </c>
      <c r="B53" s="21" t="s">
        <v>121</v>
      </c>
      <c r="C53" s="22">
        <v>12997366000166</v>
      </c>
      <c r="D53" s="23">
        <v>5160</v>
      </c>
      <c r="E53" s="24">
        <f t="shared" si="1"/>
        <v>1.620275601343623E-2</v>
      </c>
      <c r="F53" s="25">
        <f t="shared" si="2"/>
        <v>1375.6416922535188</v>
      </c>
      <c r="G53" s="26">
        <f t="shared" si="3"/>
        <v>68.782084612675945</v>
      </c>
      <c r="H53" s="26">
        <f t="shared" si="0"/>
        <v>1444.4237768661949</v>
      </c>
    </row>
    <row r="54" spans="1:8" customFormat="1" ht="16.5" customHeight="1" x14ac:dyDescent="0.25">
      <c r="A54" s="20" t="s">
        <v>122</v>
      </c>
      <c r="B54" s="21" t="s">
        <v>123</v>
      </c>
      <c r="C54" s="22" t="s">
        <v>124</v>
      </c>
      <c r="D54" s="23">
        <v>6586</v>
      </c>
      <c r="E54" s="24">
        <f t="shared" si="1"/>
        <v>2.0680494400095159E-2</v>
      </c>
      <c r="F54" s="25">
        <f t="shared" si="2"/>
        <v>1755.809338213503</v>
      </c>
      <c r="G54" s="26">
        <f t="shared" si="3"/>
        <v>87.79046691067515</v>
      </c>
      <c r="H54" s="26">
        <f t="shared" si="0"/>
        <v>1843.5998051241781</v>
      </c>
    </row>
    <row r="55" spans="1:8" customFormat="1" x14ac:dyDescent="0.25">
      <c r="A55" s="20" t="s">
        <v>125</v>
      </c>
      <c r="B55" s="21" t="s">
        <v>126</v>
      </c>
      <c r="C55" s="22">
        <v>11884518000151</v>
      </c>
      <c r="D55" s="23">
        <v>5644</v>
      </c>
      <c r="E55" s="24">
        <f t="shared" si="1"/>
        <v>1.772254940694459E-2</v>
      </c>
      <c r="F55" s="25">
        <f t="shared" si="2"/>
        <v>1504.6747502090814</v>
      </c>
      <c r="G55" s="26">
        <f t="shared" si="3"/>
        <v>75.233737510454077</v>
      </c>
      <c r="H55" s="26">
        <f t="shared" si="0"/>
        <v>1579.9084877195355</v>
      </c>
    </row>
    <row r="56" spans="1:8" s="63" customFormat="1" x14ac:dyDescent="0.25">
      <c r="A56" s="56" t="s">
        <v>147</v>
      </c>
      <c r="B56" s="57" t="s">
        <v>148</v>
      </c>
      <c r="C56" s="58">
        <v>41142377000162</v>
      </c>
      <c r="D56" s="59">
        <v>1134.82</v>
      </c>
      <c r="E56" s="60">
        <f t="shared" si="1"/>
        <v>3.5634130967379268E-3</v>
      </c>
      <c r="F56" s="61">
        <f t="shared" si="2"/>
        <v>302.53986534944539</v>
      </c>
      <c r="G56" s="62">
        <f t="shared" si="3"/>
        <v>15.126993267472271</v>
      </c>
      <c r="H56" s="62">
        <f t="shared" si="0"/>
        <v>317.66685861691764</v>
      </c>
    </row>
    <row r="57" spans="1:8" customFormat="1" x14ac:dyDescent="0.25">
      <c r="A57" s="20" t="s">
        <v>127</v>
      </c>
      <c r="B57" s="21" t="s">
        <v>128</v>
      </c>
      <c r="C57" s="22">
        <v>36188051000136</v>
      </c>
      <c r="D57" s="23">
        <v>6936</v>
      </c>
      <c r="E57" s="24">
        <f t="shared" si="1"/>
        <v>2.1779518548293353E-2</v>
      </c>
      <c r="F57" s="25">
        <f t="shared" si="2"/>
        <v>1849.118367726823</v>
      </c>
      <c r="G57" s="26">
        <f t="shared" si="3"/>
        <v>92.455918386341153</v>
      </c>
      <c r="H57" s="26">
        <f t="shared" si="0"/>
        <v>1941.5742861131641</v>
      </c>
    </row>
    <row r="58" spans="1:8" customFormat="1" x14ac:dyDescent="0.25">
      <c r="A58" s="20" t="s">
        <v>129</v>
      </c>
      <c r="B58" s="21" t="s">
        <v>130</v>
      </c>
      <c r="C58" s="22" t="s">
        <v>131</v>
      </c>
      <c r="D58" s="23">
        <f>7425*40%</f>
        <v>2970</v>
      </c>
      <c r="E58" s="24">
        <f t="shared" si="1"/>
        <v>9.3260049147103896E-3</v>
      </c>
      <c r="F58" s="25">
        <f t="shared" si="2"/>
        <v>791.7937647273161</v>
      </c>
      <c r="G58" s="26">
        <f t="shared" si="3"/>
        <v>39.589688236365809</v>
      </c>
      <c r="H58" s="26">
        <f t="shared" si="0"/>
        <v>831.38345296368186</v>
      </c>
    </row>
    <row r="59" spans="1:8" customFormat="1" x14ac:dyDescent="0.25">
      <c r="A59" s="20" t="s">
        <v>132</v>
      </c>
      <c r="B59" s="21" t="s">
        <v>133</v>
      </c>
      <c r="C59" s="22">
        <v>18741082000190</v>
      </c>
      <c r="D59" s="23">
        <v>12183</v>
      </c>
      <c r="E59" s="24">
        <f t="shared" si="1"/>
        <v>3.825546056428171E-2</v>
      </c>
      <c r="F59" s="25">
        <f t="shared" si="2"/>
        <v>3247.9540187450816</v>
      </c>
      <c r="G59" s="26">
        <f t="shared" si="3"/>
        <v>162.39770093725409</v>
      </c>
      <c r="H59" s="26">
        <f t="shared" si="0"/>
        <v>3410.3517196823359</v>
      </c>
    </row>
    <row r="60" spans="1:8" customFormat="1" x14ac:dyDescent="0.25">
      <c r="A60" s="20" t="s">
        <v>134</v>
      </c>
      <c r="B60" s="21" t="s">
        <v>135</v>
      </c>
      <c r="C60" s="22" t="s">
        <v>136</v>
      </c>
      <c r="D60" s="23">
        <v>4814</v>
      </c>
      <c r="E60" s="24">
        <f t="shared" si="1"/>
        <v>1.5116292141217446E-2</v>
      </c>
      <c r="F60" s="25">
        <f t="shared" si="2"/>
        <v>1283.3990516489225</v>
      </c>
      <c r="G60" s="26">
        <f t="shared" si="3"/>
        <v>64.169952582446129</v>
      </c>
      <c r="H60" s="26">
        <f t="shared" si="0"/>
        <v>1347.5690042313686</v>
      </c>
    </row>
    <row r="61" spans="1:8" customFormat="1" x14ac:dyDescent="0.25">
      <c r="A61" s="20" t="s">
        <v>137</v>
      </c>
      <c r="B61" s="21" t="s">
        <v>138</v>
      </c>
      <c r="C61" s="22" t="s">
        <v>139</v>
      </c>
      <c r="D61" s="23">
        <v>3476.86</v>
      </c>
      <c r="E61" s="24">
        <f t="shared" si="1"/>
        <v>1.0917580285441065E-2</v>
      </c>
      <c r="F61" s="25">
        <f t="shared" si="2"/>
        <v>926.92123529623439</v>
      </c>
      <c r="G61" s="26">
        <f t="shared" si="3"/>
        <v>46.346061764811722</v>
      </c>
      <c r="H61" s="26">
        <f t="shared" si="0"/>
        <v>973.26729706104607</v>
      </c>
    </row>
    <row r="62" spans="1:8" customFormat="1" x14ac:dyDescent="0.25">
      <c r="A62" s="20" t="s">
        <v>140</v>
      </c>
      <c r="B62" s="28" t="s">
        <v>141</v>
      </c>
      <c r="C62" s="22">
        <v>11884518000151</v>
      </c>
      <c r="D62" s="23">
        <f>81377.44-14717-3314-9239+11302+4126.33</f>
        <v>69535.77</v>
      </c>
      <c r="E62" s="24">
        <f t="shared" si="1"/>
        <v>0.21834711541015867</v>
      </c>
      <c r="F62" s="25">
        <f t="shared" si="2"/>
        <v>18538.043471889821</v>
      </c>
      <c r="G62" s="26">
        <f t="shared" si="3"/>
        <v>926.90217359449116</v>
      </c>
      <c r="H62" s="26">
        <f t="shared" si="0"/>
        <v>19464.945645484313</v>
      </c>
    </row>
    <row r="63" spans="1:8" customFormat="1" x14ac:dyDescent="0.25">
      <c r="A63" s="34"/>
      <c r="B63" s="35"/>
      <c r="C63" s="36" t="s">
        <v>142</v>
      </c>
      <c r="D63" s="37">
        <f>SUM(D20:D62)</f>
        <v>318464.33999999997</v>
      </c>
      <c r="E63" s="38">
        <f>SUM(E20:E62)</f>
        <v>1</v>
      </c>
      <c r="F63" s="39">
        <f>SUM(F20:F62)</f>
        <v>84901.709999999992</v>
      </c>
      <c r="G63" s="39">
        <f>SUM(G20:G62)</f>
        <v>4245.0855000000001</v>
      </c>
      <c r="H63" s="40">
        <f>SUM(H20:H62)</f>
        <v>89146.795499999993</v>
      </c>
    </row>
    <row r="64" spans="1:8" customFormat="1" x14ac:dyDescent="0.25">
      <c r="F64" s="41"/>
    </row>
    <row r="65" spans="2:8" customFormat="1" x14ac:dyDescent="0.25">
      <c r="F65" s="41"/>
    </row>
    <row r="66" spans="2:8" customFormat="1" x14ac:dyDescent="0.25">
      <c r="B66" s="115" t="s">
        <v>143</v>
      </c>
      <c r="C66" s="115"/>
      <c r="F66" s="41"/>
    </row>
    <row r="67" spans="2:8" customFormat="1" x14ac:dyDescent="0.25">
      <c r="B67" s="116" t="s">
        <v>144</v>
      </c>
      <c r="C67" s="117"/>
      <c r="E67" s="41"/>
      <c r="H67" s="42"/>
    </row>
    <row r="68" spans="2:8" customFormat="1" x14ac:dyDescent="0.25">
      <c r="E68" s="41"/>
      <c r="H68" s="43"/>
    </row>
    <row r="69" spans="2:8" customFormat="1" x14ac:dyDescent="0.25">
      <c r="D69" s="44"/>
      <c r="E69" s="41"/>
      <c r="H69" s="42"/>
    </row>
    <row r="70" spans="2:8" customFormat="1" x14ac:dyDescent="0.25">
      <c r="E70" s="41"/>
    </row>
    <row r="71" spans="2:8" customFormat="1" x14ac:dyDescent="0.25"/>
    <row r="72" spans="2:8" customFormat="1" x14ac:dyDescent="0.25"/>
    <row r="73" spans="2:8" customFormat="1" x14ac:dyDescent="0.25"/>
    <row r="74" spans="2:8" customFormat="1" x14ac:dyDescent="0.25"/>
    <row r="75" spans="2:8" customFormat="1" x14ac:dyDescent="0.25"/>
    <row r="76" spans="2:8" customFormat="1" x14ac:dyDescent="0.25"/>
    <row r="77" spans="2:8" customFormat="1" x14ac:dyDescent="0.25"/>
    <row r="78" spans="2:8" customFormat="1" x14ac:dyDescent="0.25"/>
    <row r="79" spans="2:8" customFormat="1" x14ac:dyDescent="0.25"/>
    <row r="80" spans="2:8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spans="1:8" customFormat="1" x14ac:dyDescent="0.25"/>
    <row r="146" spans="1:8" customFormat="1" x14ac:dyDescent="0.25"/>
    <row r="147" spans="1:8" customFormat="1" x14ac:dyDescent="0.25"/>
    <row r="148" spans="1:8" customFormat="1" x14ac:dyDescent="0.25"/>
    <row r="149" spans="1:8" customFormat="1" x14ac:dyDescent="0.25"/>
    <row r="150" spans="1:8" customFormat="1" x14ac:dyDescent="0.25">
      <c r="A150" s="45"/>
      <c r="B150" s="45"/>
      <c r="C150" s="45"/>
      <c r="D150" s="45"/>
      <c r="E150" s="45"/>
    </row>
    <row r="151" spans="1:8" x14ac:dyDescent="0.25">
      <c r="F151"/>
      <c r="G151"/>
      <c r="H151"/>
    </row>
    <row r="152" spans="1:8" x14ac:dyDescent="0.25">
      <c r="F152"/>
      <c r="G152"/>
      <c r="H152"/>
    </row>
    <row r="153" spans="1:8" x14ac:dyDescent="0.25">
      <c r="F153"/>
      <c r="G153"/>
      <c r="H153"/>
    </row>
    <row r="154" spans="1:8" x14ac:dyDescent="0.25">
      <c r="F154"/>
      <c r="G154"/>
      <c r="H154"/>
    </row>
    <row r="155" spans="1:8" x14ac:dyDescent="0.25">
      <c r="F155"/>
      <c r="G155"/>
      <c r="H155"/>
    </row>
    <row r="156" spans="1:8" x14ac:dyDescent="0.25">
      <c r="F156"/>
      <c r="G156"/>
      <c r="H156"/>
    </row>
    <row r="157" spans="1:8" x14ac:dyDescent="0.25">
      <c r="F157"/>
      <c r="G157"/>
      <c r="H157"/>
    </row>
    <row r="158" spans="1:8" x14ac:dyDescent="0.25">
      <c r="F158"/>
      <c r="G158"/>
      <c r="H158"/>
    </row>
    <row r="159" spans="1:8" x14ac:dyDescent="0.25">
      <c r="F159"/>
      <c r="G159"/>
      <c r="H159"/>
    </row>
    <row r="160" spans="1:8" x14ac:dyDescent="0.25">
      <c r="F160"/>
      <c r="G160"/>
      <c r="H160"/>
    </row>
    <row r="161" spans="6:8" x14ac:dyDescent="0.25">
      <c r="F161"/>
      <c r="G161"/>
      <c r="H161"/>
    </row>
    <row r="162" spans="6:8" x14ac:dyDescent="0.25">
      <c r="F162"/>
      <c r="G162"/>
      <c r="H162"/>
    </row>
    <row r="163" spans="6:8" x14ac:dyDescent="0.25">
      <c r="F163"/>
      <c r="G163"/>
      <c r="H163"/>
    </row>
    <row r="164" spans="6:8" x14ac:dyDescent="0.25">
      <c r="F164"/>
      <c r="G164"/>
      <c r="H164"/>
    </row>
    <row r="165" spans="6:8" x14ac:dyDescent="0.25">
      <c r="F165"/>
      <c r="G165"/>
      <c r="H165"/>
    </row>
    <row r="166" spans="6:8" x14ac:dyDescent="0.25">
      <c r="F166"/>
      <c r="G166"/>
      <c r="H166"/>
    </row>
    <row r="167" spans="6:8" x14ac:dyDescent="0.25">
      <c r="F167"/>
      <c r="G167"/>
      <c r="H167"/>
    </row>
    <row r="168" spans="6:8" x14ac:dyDescent="0.25">
      <c r="F168"/>
      <c r="G168"/>
      <c r="H168"/>
    </row>
    <row r="169" spans="6:8" x14ac:dyDescent="0.25">
      <c r="F169"/>
      <c r="G169"/>
      <c r="H169"/>
    </row>
    <row r="170" spans="6:8" x14ac:dyDescent="0.25">
      <c r="F170"/>
      <c r="G170"/>
      <c r="H170"/>
    </row>
    <row r="171" spans="6:8" x14ac:dyDescent="0.25">
      <c r="F171"/>
      <c r="G171"/>
      <c r="H171"/>
    </row>
    <row r="172" spans="6:8" x14ac:dyDescent="0.25">
      <c r="F172"/>
      <c r="G172"/>
      <c r="H172"/>
    </row>
    <row r="173" spans="6:8" x14ac:dyDescent="0.25">
      <c r="F173"/>
      <c r="G173"/>
      <c r="H173"/>
    </row>
    <row r="174" spans="6:8" x14ac:dyDescent="0.25">
      <c r="F174"/>
      <c r="G174"/>
      <c r="H174"/>
    </row>
    <row r="175" spans="6:8" x14ac:dyDescent="0.25">
      <c r="F175"/>
      <c r="G175"/>
      <c r="H175"/>
    </row>
    <row r="176" spans="6:8" x14ac:dyDescent="0.25">
      <c r="F176"/>
      <c r="G176"/>
      <c r="H176"/>
    </row>
    <row r="177" spans="6:8" x14ac:dyDescent="0.25">
      <c r="F177"/>
      <c r="G177"/>
      <c r="H177"/>
    </row>
    <row r="178" spans="6:8" x14ac:dyDescent="0.25">
      <c r="F178"/>
      <c r="G178"/>
      <c r="H178"/>
    </row>
    <row r="179" spans="6:8" x14ac:dyDescent="0.25">
      <c r="F179"/>
      <c r="G179"/>
      <c r="H179"/>
    </row>
    <row r="180" spans="6:8" x14ac:dyDescent="0.25">
      <c r="F180"/>
      <c r="G180"/>
      <c r="H180"/>
    </row>
    <row r="181" spans="6:8" x14ac:dyDescent="0.25">
      <c r="F181"/>
      <c r="G181"/>
      <c r="H181"/>
    </row>
    <row r="182" spans="6:8" x14ac:dyDescent="0.25">
      <c r="F182"/>
      <c r="G182"/>
      <c r="H182"/>
    </row>
    <row r="183" spans="6:8" x14ac:dyDescent="0.25">
      <c r="F183"/>
      <c r="G183"/>
      <c r="H183"/>
    </row>
    <row r="184" spans="6:8" x14ac:dyDescent="0.25">
      <c r="F184"/>
      <c r="G184"/>
      <c r="H184"/>
    </row>
    <row r="185" spans="6:8" x14ac:dyDescent="0.25">
      <c r="F185"/>
      <c r="G185"/>
      <c r="H185"/>
    </row>
    <row r="186" spans="6:8" x14ac:dyDescent="0.25">
      <c r="F186"/>
      <c r="G186"/>
      <c r="H186"/>
    </row>
    <row r="187" spans="6:8" x14ac:dyDescent="0.25">
      <c r="F187"/>
      <c r="G187"/>
      <c r="H187"/>
    </row>
    <row r="188" spans="6:8" x14ac:dyDescent="0.25">
      <c r="F188"/>
      <c r="G188"/>
      <c r="H188"/>
    </row>
    <row r="189" spans="6:8" x14ac:dyDescent="0.25">
      <c r="F189"/>
      <c r="G189"/>
      <c r="H189"/>
    </row>
    <row r="190" spans="6:8" x14ac:dyDescent="0.25">
      <c r="F190"/>
      <c r="G190"/>
      <c r="H190"/>
    </row>
    <row r="191" spans="6:8" x14ac:dyDescent="0.25">
      <c r="F191"/>
      <c r="G191"/>
      <c r="H191"/>
    </row>
    <row r="192" spans="6:8" x14ac:dyDescent="0.25">
      <c r="F192"/>
      <c r="G192"/>
      <c r="H192"/>
    </row>
    <row r="193" spans="6:8" x14ac:dyDescent="0.25">
      <c r="F193"/>
      <c r="G193"/>
      <c r="H193"/>
    </row>
    <row r="194" spans="6:8" x14ac:dyDescent="0.25">
      <c r="F194"/>
      <c r="G194"/>
      <c r="H194"/>
    </row>
    <row r="195" spans="6:8" x14ac:dyDescent="0.25">
      <c r="F195"/>
      <c r="G195"/>
      <c r="H195"/>
    </row>
    <row r="196" spans="6:8" x14ac:dyDescent="0.25">
      <c r="F196"/>
      <c r="G196"/>
      <c r="H196"/>
    </row>
    <row r="197" spans="6:8" x14ac:dyDescent="0.25">
      <c r="F197"/>
      <c r="G197"/>
      <c r="H197"/>
    </row>
    <row r="198" spans="6:8" x14ac:dyDescent="0.25">
      <c r="F198"/>
      <c r="G198"/>
      <c r="H198"/>
    </row>
    <row r="199" spans="6:8" x14ac:dyDescent="0.25">
      <c r="F199"/>
      <c r="G199"/>
      <c r="H199"/>
    </row>
    <row r="200" spans="6:8" x14ac:dyDescent="0.25">
      <c r="F200"/>
      <c r="G200"/>
      <c r="H200"/>
    </row>
    <row r="201" spans="6:8" x14ac:dyDescent="0.25">
      <c r="F201"/>
      <c r="G201"/>
      <c r="H201"/>
    </row>
    <row r="202" spans="6:8" x14ac:dyDescent="0.25">
      <c r="F202"/>
      <c r="G202"/>
      <c r="H202"/>
    </row>
    <row r="203" spans="6:8" x14ac:dyDescent="0.25">
      <c r="F203"/>
      <c r="G203"/>
      <c r="H203"/>
    </row>
    <row r="204" spans="6:8" x14ac:dyDescent="0.25">
      <c r="F204"/>
      <c r="G204"/>
      <c r="H204"/>
    </row>
    <row r="205" spans="6:8" x14ac:dyDescent="0.25">
      <c r="F205"/>
      <c r="G205"/>
      <c r="H205"/>
    </row>
    <row r="206" spans="6:8" x14ac:dyDescent="0.25">
      <c r="F206"/>
      <c r="G206"/>
      <c r="H206"/>
    </row>
    <row r="207" spans="6:8" x14ac:dyDescent="0.25">
      <c r="F207"/>
      <c r="G207"/>
      <c r="H207"/>
    </row>
    <row r="208" spans="6:8" x14ac:dyDescent="0.25">
      <c r="F208"/>
      <c r="G208"/>
      <c r="H208"/>
    </row>
    <row r="209" spans="6:8" x14ac:dyDescent="0.25">
      <c r="F209"/>
      <c r="G209"/>
      <c r="H209"/>
    </row>
    <row r="210" spans="6:8" x14ac:dyDescent="0.25">
      <c r="F210"/>
      <c r="G210"/>
      <c r="H210"/>
    </row>
    <row r="211" spans="6:8" x14ac:dyDescent="0.25">
      <c r="F211"/>
      <c r="G211"/>
      <c r="H211"/>
    </row>
    <row r="212" spans="6:8" x14ac:dyDescent="0.25">
      <c r="F212"/>
      <c r="G212"/>
      <c r="H212"/>
    </row>
    <row r="213" spans="6:8" x14ac:dyDescent="0.25">
      <c r="F213"/>
      <c r="G213"/>
      <c r="H213"/>
    </row>
    <row r="214" spans="6:8" x14ac:dyDescent="0.25">
      <c r="F214"/>
      <c r="G214"/>
      <c r="H214"/>
    </row>
    <row r="215" spans="6:8" x14ac:dyDescent="0.25">
      <c r="F215"/>
      <c r="G215"/>
      <c r="H215"/>
    </row>
    <row r="216" spans="6:8" x14ac:dyDescent="0.25">
      <c r="F216"/>
      <c r="G216"/>
      <c r="H216"/>
    </row>
    <row r="217" spans="6:8" x14ac:dyDescent="0.25">
      <c r="F217"/>
      <c r="G217"/>
      <c r="H217"/>
    </row>
    <row r="218" spans="6:8" x14ac:dyDescent="0.25">
      <c r="F218"/>
      <c r="G218"/>
      <c r="H218"/>
    </row>
    <row r="219" spans="6:8" x14ac:dyDescent="0.25">
      <c r="F219"/>
      <c r="G219"/>
      <c r="H219"/>
    </row>
    <row r="220" spans="6:8" x14ac:dyDescent="0.25">
      <c r="F220"/>
      <c r="G220"/>
      <c r="H220"/>
    </row>
    <row r="221" spans="6:8" x14ac:dyDescent="0.25">
      <c r="F221"/>
      <c r="G221"/>
      <c r="H221"/>
    </row>
    <row r="222" spans="6:8" x14ac:dyDescent="0.25">
      <c r="F222"/>
      <c r="G222"/>
      <c r="H222"/>
    </row>
    <row r="223" spans="6:8" x14ac:dyDescent="0.25">
      <c r="F223"/>
      <c r="G223"/>
      <c r="H223"/>
    </row>
    <row r="224" spans="6:8" x14ac:dyDescent="0.25">
      <c r="F224"/>
      <c r="G224"/>
      <c r="H224"/>
    </row>
    <row r="225" spans="6:8" x14ac:dyDescent="0.25">
      <c r="F225"/>
      <c r="G225"/>
      <c r="H225"/>
    </row>
    <row r="226" spans="6:8" x14ac:dyDescent="0.25">
      <c r="F226"/>
      <c r="G226"/>
      <c r="H226"/>
    </row>
    <row r="227" spans="6:8" x14ac:dyDescent="0.25">
      <c r="F227"/>
      <c r="G227"/>
      <c r="H227"/>
    </row>
    <row r="228" spans="6:8" x14ac:dyDescent="0.25">
      <c r="F228"/>
      <c r="G228"/>
      <c r="H228"/>
    </row>
    <row r="229" spans="6:8" x14ac:dyDescent="0.25">
      <c r="F229"/>
      <c r="G229"/>
      <c r="H229"/>
    </row>
    <row r="230" spans="6:8" x14ac:dyDescent="0.25">
      <c r="F230"/>
      <c r="G230"/>
      <c r="H230"/>
    </row>
    <row r="231" spans="6:8" x14ac:dyDescent="0.25">
      <c r="F231"/>
      <c r="G231"/>
      <c r="H231"/>
    </row>
    <row r="232" spans="6:8" x14ac:dyDescent="0.25">
      <c r="G232"/>
      <c r="H232"/>
    </row>
  </sheetData>
  <mergeCells count="3">
    <mergeCell ref="B1:G1"/>
    <mergeCell ref="B66:C66"/>
    <mergeCell ref="B67:C67"/>
  </mergeCells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9"/>
  <sheetViews>
    <sheetView topLeftCell="A12" zoomScaleNormal="100" workbookViewId="0">
      <selection activeCell="F34" sqref="F34:G34"/>
    </sheetView>
  </sheetViews>
  <sheetFormatPr defaultColWidth="9.140625" defaultRowHeight="15" x14ac:dyDescent="0.25"/>
  <cols>
    <col min="1" max="1" width="29.5703125" style="45" customWidth="1"/>
    <col min="2" max="2" width="45.28515625" style="45" customWidth="1"/>
    <col min="3" max="3" width="29.7109375" style="45" customWidth="1"/>
    <col min="4" max="4" width="21.42578125" style="45" customWidth="1"/>
    <col min="5" max="5" width="17.42578125" style="45" customWidth="1"/>
    <col min="6" max="6" width="16.42578125" style="45" customWidth="1"/>
    <col min="7" max="7" width="17.140625" style="45" customWidth="1"/>
    <col min="8" max="8" width="16.85546875" style="45" bestFit="1" customWidth="1"/>
    <col min="9" max="16384" width="9.140625" style="45"/>
  </cols>
  <sheetData>
    <row r="1" spans="1:8" customFormat="1" ht="21.75" customHeight="1" x14ac:dyDescent="0.25">
      <c r="A1" s="46"/>
      <c r="B1" s="112" t="s">
        <v>0</v>
      </c>
      <c r="C1" s="113"/>
      <c r="D1" s="113"/>
      <c r="E1" s="113"/>
      <c r="F1" s="113"/>
      <c r="G1" s="114"/>
      <c r="H1" s="47"/>
    </row>
    <row r="2" spans="1:8" customFormat="1" ht="30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3"/>
      <c r="F2" s="4" t="s">
        <v>5</v>
      </c>
      <c r="G2" s="5"/>
      <c r="H2" s="6"/>
    </row>
    <row r="3" spans="1:8" customFormat="1" ht="30.6" customHeight="1" x14ac:dyDescent="0.25">
      <c r="A3" s="7">
        <v>1</v>
      </c>
      <c r="B3" s="8" t="s">
        <v>6</v>
      </c>
      <c r="C3" s="8"/>
      <c r="D3" s="9">
        <v>45689</v>
      </c>
      <c r="E3" s="9"/>
      <c r="F3" s="10">
        <f>532.69+550</f>
        <v>1082.69</v>
      </c>
      <c r="G3" s="5"/>
      <c r="H3" s="6"/>
    </row>
    <row r="4" spans="1:8" customFormat="1" ht="30.6" customHeight="1" x14ac:dyDescent="0.25">
      <c r="A4" s="7">
        <v>2</v>
      </c>
      <c r="B4" s="8" t="s">
        <v>8</v>
      </c>
      <c r="C4" s="8" t="s">
        <v>9</v>
      </c>
      <c r="D4" s="9">
        <v>45689</v>
      </c>
      <c r="E4" s="9"/>
      <c r="F4" s="10">
        <v>39590</v>
      </c>
      <c r="G4" s="5"/>
      <c r="H4" s="11"/>
    </row>
    <row r="5" spans="1:8" customFormat="1" ht="30.6" customHeight="1" x14ac:dyDescent="0.25">
      <c r="A5" s="7">
        <v>3</v>
      </c>
      <c r="B5" s="8" t="s">
        <v>10</v>
      </c>
      <c r="C5" s="12" t="s">
        <v>11</v>
      </c>
      <c r="D5" s="9">
        <v>45689</v>
      </c>
      <c r="E5" s="9"/>
      <c r="F5" s="10">
        <f>38676.1+7.01</f>
        <v>38683.11</v>
      </c>
      <c r="G5" s="5"/>
      <c r="H5" s="11"/>
    </row>
    <row r="6" spans="1:8" customFormat="1" ht="30.6" customHeight="1" x14ac:dyDescent="0.25">
      <c r="A6" s="7">
        <v>4</v>
      </c>
      <c r="B6" s="8" t="s">
        <v>12</v>
      </c>
      <c r="C6" s="8"/>
      <c r="D6" s="9">
        <v>45689</v>
      </c>
      <c r="E6" s="9"/>
      <c r="F6" s="10">
        <v>365.13</v>
      </c>
      <c r="G6" s="5"/>
      <c r="H6" s="6"/>
    </row>
    <row r="7" spans="1:8" customFormat="1" ht="30.6" customHeight="1" x14ac:dyDescent="0.25">
      <c r="A7" s="7">
        <v>5</v>
      </c>
      <c r="B7" s="8" t="s">
        <v>13</v>
      </c>
      <c r="C7" s="8" t="s">
        <v>14</v>
      </c>
      <c r="D7" s="9">
        <v>45689</v>
      </c>
      <c r="E7" s="9"/>
      <c r="F7" s="13">
        <v>1518</v>
      </c>
      <c r="G7" s="5"/>
      <c r="H7" s="6"/>
    </row>
    <row r="8" spans="1:8" customFormat="1" ht="30.6" customHeight="1" x14ac:dyDescent="0.25">
      <c r="A8" s="7">
        <v>6</v>
      </c>
      <c r="B8" s="8" t="s">
        <v>15</v>
      </c>
      <c r="C8" s="8" t="s">
        <v>16</v>
      </c>
      <c r="D8" s="9">
        <v>45689</v>
      </c>
      <c r="E8" s="9"/>
      <c r="F8" s="13">
        <v>2500</v>
      </c>
      <c r="G8" s="5"/>
      <c r="H8" s="6"/>
    </row>
    <row r="9" spans="1:8" customFormat="1" ht="34.5" customHeight="1" x14ac:dyDescent="0.25">
      <c r="A9" s="7">
        <v>7</v>
      </c>
      <c r="B9" s="14" t="s">
        <v>17</v>
      </c>
      <c r="C9" s="12" t="s">
        <v>18</v>
      </c>
      <c r="D9" s="9">
        <v>45689</v>
      </c>
      <c r="E9" s="9"/>
      <c r="F9" s="13">
        <v>880</v>
      </c>
      <c r="G9" s="5"/>
      <c r="H9" s="6"/>
    </row>
    <row r="10" spans="1:8" customFormat="1" ht="30.6" customHeight="1" x14ac:dyDescent="0.25">
      <c r="A10" s="7">
        <v>8</v>
      </c>
      <c r="B10" s="14" t="s">
        <v>19</v>
      </c>
      <c r="C10" s="14" t="s">
        <v>20</v>
      </c>
      <c r="D10" s="9">
        <v>45689</v>
      </c>
      <c r="E10" s="9"/>
      <c r="F10" s="13">
        <v>60.83</v>
      </c>
      <c r="G10" s="5"/>
      <c r="H10" s="6"/>
    </row>
    <row r="11" spans="1:8" customFormat="1" ht="30.6" customHeight="1" x14ac:dyDescent="0.25">
      <c r="A11" s="7">
        <v>9</v>
      </c>
      <c r="B11" s="14" t="s">
        <v>149</v>
      </c>
      <c r="C11" s="14" t="s">
        <v>150</v>
      </c>
      <c r="D11" s="9">
        <v>45689</v>
      </c>
      <c r="E11" s="9"/>
      <c r="F11" s="13">
        <v>149.9</v>
      </c>
      <c r="G11" s="5"/>
      <c r="H11" s="6"/>
    </row>
    <row r="12" spans="1:8" customFormat="1" ht="30.6" customHeight="1" x14ac:dyDescent="0.25">
      <c r="A12" s="7">
        <v>10</v>
      </c>
      <c r="B12" s="14" t="s">
        <v>21</v>
      </c>
      <c r="C12" s="12" t="s">
        <v>22</v>
      </c>
      <c r="D12" s="9">
        <v>45689</v>
      </c>
      <c r="E12" s="9"/>
      <c r="F12" s="13">
        <v>385</v>
      </c>
      <c r="G12" s="5"/>
      <c r="H12" s="15"/>
    </row>
    <row r="13" spans="1:8" customFormat="1" ht="30.6" customHeight="1" x14ac:dyDescent="0.25">
      <c r="A13" s="7">
        <v>11</v>
      </c>
      <c r="B13" s="14" t="s">
        <v>23</v>
      </c>
      <c r="C13" s="8"/>
      <c r="D13" s="9">
        <v>45689</v>
      </c>
      <c r="E13" s="9"/>
      <c r="F13" s="13">
        <v>70</v>
      </c>
      <c r="G13" s="5"/>
      <c r="H13" s="6"/>
    </row>
    <row r="14" spans="1:8" customFormat="1" ht="31.5" customHeight="1" x14ac:dyDescent="0.25">
      <c r="A14" s="7">
        <v>12</v>
      </c>
      <c r="B14" s="14" t="s">
        <v>24</v>
      </c>
      <c r="C14" s="12" t="s">
        <v>25</v>
      </c>
      <c r="D14" s="9">
        <v>45689</v>
      </c>
      <c r="E14" s="9"/>
      <c r="F14" s="13">
        <v>359</v>
      </c>
      <c r="G14" s="5"/>
      <c r="H14" s="6"/>
    </row>
    <row r="15" spans="1:8" customFormat="1" ht="31.5" customHeight="1" x14ac:dyDescent="0.25">
      <c r="A15" s="7">
        <v>13</v>
      </c>
      <c r="B15" s="14" t="s">
        <v>26</v>
      </c>
      <c r="C15" s="12" t="s">
        <v>151</v>
      </c>
      <c r="D15" s="9">
        <v>45689</v>
      </c>
      <c r="E15" s="9"/>
      <c r="F15" s="13">
        <v>33.799999999999997</v>
      </c>
      <c r="G15" s="5"/>
      <c r="H15" s="6"/>
    </row>
    <row r="16" spans="1:8" customFormat="1" ht="31.5" customHeight="1" x14ac:dyDescent="0.25">
      <c r="A16" s="7">
        <v>14</v>
      </c>
      <c r="B16" s="14" t="s">
        <v>29</v>
      </c>
      <c r="C16" s="12" t="s">
        <v>152</v>
      </c>
      <c r="D16" s="9">
        <v>45689</v>
      </c>
      <c r="E16" s="9"/>
      <c r="F16" s="13">
        <v>369.39</v>
      </c>
      <c r="G16" s="5"/>
      <c r="H16" s="6"/>
    </row>
    <row r="17" spans="1:12" customFormat="1" ht="42" customHeight="1" x14ac:dyDescent="0.25">
      <c r="A17" s="48"/>
      <c r="B17" s="49" t="s">
        <v>31</v>
      </c>
      <c r="C17" s="50"/>
      <c r="D17" s="51"/>
      <c r="E17" s="52"/>
      <c r="F17" s="53">
        <f>SUM(F3:F16)</f>
        <v>86046.85</v>
      </c>
      <c r="G17" s="54"/>
      <c r="H17" s="55"/>
    </row>
    <row r="18" spans="1:12" customFormat="1" ht="21.75" customHeight="1" x14ac:dyDescent="0.25">
      <c r="A18" s="16" t="s">
        <v>32</v>
      </c>
      <c r="B18" s="17" t="s">
        <v>33</v>
      </c>
      <c r="C18" s="18" t="s">
        <v>34</v>
      </c>
      <c r="D18" s="16" t="s">
        <v>35</v>
      </c>
      <c r="E18" s="16" t="s">
        <v>36</v>
      </c>
      <c r="F18" s="16" t="s">
        <v>37</v>
      </c>
      <c r="G18" s="19" t="s">
        <v>38</v>
      </c>
      <c r="H18" s="18" t="s">
        <v>39</v>
      </c>
    </row>
    <row r="19" spans="1:12" s="72" customFormat="1" ht="15" customHeight="1" x14ac:dyDescent="0.25">
      <c r="A19" s="65" t="s">
        <v>40</v>
      </c>
      <c r="B19" s="66" t="s">
        <v>41</v>
      </c>
      <c r="C19" s="67" t="s">
        <v>42</v>
      </c>
      <c r="D19" s="68">
        <v>4016</v>
      </c>
      <c r="E19" s="69">
        <f>D19/$D$60</f>
        <v>1.3299610959886176E-2</v>
      </c>
      <c r="F19" s="70">
        <f>$F$17*E19</f>
        <v>1144.3896293236819</v>
      </c>
      <c r="G19" s="71">
        <f>F19*5%</f>
        <v>57.219481466184099</v>
      </c>
      <c r="H19" s="71">
        <f t="shared" ref="H19:H59" si="0">F19+G19</f>
        <v>1201.609110789866</v>
      </c>
    </row>
    <row r="20" spans="1:12" s="74" customFormat="1" x14ac:dyDescent="0.25">
      <c r="A20" s="65" t="s">
        <v>43</v>
      </c>
      <c r="B20" s="73" t="s">
        <v>44</v>
      </c>
      <c r="C20" s="67">
        <v>18778225000139</v>
      </c>
      <c r="D20" s="68">
        <v>8711.2199999999993</v>
      </c>
      <c r="E20" s="69">
        <f t="shared" ref="E20:E59" si="1">D20/$D$60</f>
        <v>2.8848564986548714E-2</v>
      </c>
      <c r="F20" s="70">
        <f t="shared" ref="F20:F59" si="2">$F$17*E20</f>
        <v>2482.3281441128092</v>
      </c>
      <c r="G20" s="71">
        <f t="shared" ref="G20:G59" si="3">F20*5%</f>
        <v>124.11640720564047</v>
      </c>
      <c r="H20" s="71">
        <f t="shared" si="0"/>
        <v>2606.4445513184496</v>
      </c>
    </row>
    <row r="21" spans="1:12" s="74" customFormat="1" x14ac:dyDescent="0.25">
      <c r="A21" s="65" t="s">
        <v>45</v>
      </c>
      <c r="B21" s="73" t="s">
        <v>46</v>
      </c>
      <c r="C21" s="67">
        <v>41993875000119</v>
      </c>
      <c r="D21" s="68">
        <v>3641.8</v>
      </c>
      <c r="E21" s="69">
        <f t="shared" si="1"/>
        <v>1.206038924146252E-2</v>
      </c>
      <c r="F21" s="70">
        <f t="shared" si="2"/>
        <v>1037.7585040017393</v>
      </c>
      <c r="G21" s="71">
        <f t="shared" si="3"/>
        <v>51.887925200086968</v>
      </c>
      <c r="H21" s="71">
        <f t="shared" si="0"/>
        <v>1089.6464292018263</v>
      </c>
    </row>
    <row r="22" spans="1:12" s="74" customFormat="1" x14ac:dyDescent="0.25">
      <c r="A22" s="65" t="s">
        <v>47</v>
      </c>
      <c r="B22" s="66" t="s">
        <v>48</v>
      </c>
      <c r="C22" s="67">
        <v>24781302000102</v>
      </c>
      <c r="D22" s="68">
        <v>3430</v>
      </c>
      <c r="E22" s="69">
        <f t="shared" si="1"/>
        <v>1.1358980476197605E-2</v>
      </c>
      <c r="F22" s="70">
        <f t="shared" si="2"/>
        <v>977.40448918830396</v>
      </c>
      <c r="G22" s="71">
        <f t="shared" si="3"/>
        <v>48.870224459415198</v>
      </c>
      <c r="H22" s="71">
        <f t="shared" si="0"/>
        <v>1026.2747136477192</v>
      </c>
    </row>
    <row r="23" spans="1:12" s="74" customFormat="1" x14ac:dyDescent="0.25">
      <c r="A23" s="65" t="s">
        <v>49</v>
      </c>
      <c r="B23" s="66" t="s">
        <v>50</v>
      </c>
      <c r="C23" s="67">
        <v>38649716000197</v>
      </c>
      <c r="D23" s="68">
        <v>3440</v>
      </c>
      <c r="E23" s="69">
        <f t="shared" si="1"/>
        <v>1.1392097037352699E-2</v>
      </c>
      <c r="F23" s="70">
        <f t="shared" si="2"/>
        <v>980.25406495853224</v>
      </c>
      <c r="G23" s="71">
        <f t="shared" si="3"/>
        <v>49.012703247926616</v>
      </c>
      <c r="H23" s="71">
        <f t="shared" si="0"/>
        <v>1029.2667682064589</v>
      </c>
    </row>
    <row r="24" spans="1:12" s="74" customFormat="1" x14ac:dyDescent="0.25">
      <c r="A24" s="65" t="s">
        <v>51</v>
      </c>
      <c r="B24" s="66" t="s">
        <v>52</v>
      </c>
      <c r="C24" s="67" t="s">
        <v>53</v>
      </c>
      <c r="D24" s="68">
        <v>4056</v>
      </c>
      <c r="E24" s="69">
        <f t="shared" si="1"/>
        <v>1.3432077204506556E-2</v>
      </c>
      <c r="F24" s="70">
        <f t="shared" si="2"/>
        <v>1155.787932404595</v>
      </c>
      <c r="G24" s="71">
        <f t="shared" si="3"/>
        <v>57.789396620229752</v>
      </c>
      <c r="H24" s="71">
        <f t="shared" si="0"/>
        <v>1213.5773290248248</v>
      </c>
    </row>
    <row r="25" spans="1:12" s="74" customFormat="1" x14ac:dyDescent="0.25">
      <c r="A25" s="65" t="s">
        <v>54</v>
      </c>
      <c r="B25" s="66" t="s">
        <v>55</v>
      </c>
      <c r="C25" s="67" t="s">
        <v>56</v>
      </c>
      <c r="D25" s="68">
        <v>11580</v>
      </c>
      <c r="E25" s="69">
        <f t="shared" si="1"/>
        <v>3.8348977817600077E-2</v>
      </c>
      <c r="F25" s="70">
        <f t="shared" si="2"/>
        <v>3299.8087419243616</v>
      </c>
      <c r="G25" s="71">
        <f t="shared" si="3"/>
        <v>164.9904370962181</v>
      </c>
      <c r="H25" s="71">
        <f t="shared" si="0"/>
        <v>3464.7991790205797</v>
      </c>
    </row>
    <row r="26" spans="1:12" s="74" customFormat="1" x14ac:dyDescent="0.25">
      <c r="A26" s="65" t="s">
        <v>57</v>
      </c>
      <c r="B26" s="66" t="s">
        <v>58</v>
      </c>
      <c r="C26" s="67" t="s">
        <v>59</v>
      </c>
      <c r="D26" s="68">
        <f>360+360+1510</f>
        <v>2230</v>
      </c>
      <c r="E26" s="69">
        <f t="shared" si="1"/>
        <v>7.3849931375861979E-3</v>
      </c>
      <c r="F26" s="70">
        <f t="shared" si="2"/>
        <v>635.45539676090903</v>
      </c>
      <c r="G26" s="71">
        <f t="shared" si="3"/>
        <v>31.772769838045452</v>
      </c>
      <c r="H26" s="71">
        <f t="shared" si="0"/>
        <v>667.22816659895443</v>
      </c>
    </row>
    <row r="27" spans="1:12" s="79" customFormat="1" ht="15.75" customHeight="1" x14ac:dyDescent="0.25">
      <c r="A27" s="65" t="s">
        <v>60</v>
      </c>
      <c r="B27" s="75" t="s">
        <v>61</v>
      </c>
      <c r="C27" s="76" t="s">
        <v>62</v>
      </c>
      <c r="D27" s="68">
        <f>5224+3930</f>
        <v>9154</v>
      </c>
      <c r="E27" s="69">
        <f t="shared" si="1"/>
        <v>3.0314900081374017E-2</v>
      </c>
      <c r="F27" s="70">
        <f t="shared" si="2"/>
        <v>2608.5016600669783</v>
      </c>
      <c r="G27" s="71">
        <f t="shared" si="3"/>
        <v>130.42508300334893</v>
      </c>
      <c r="H27" s="77">
        <f t="shared" si="0"/>
        <v>2738.9267430703271</v>
      </c>
      <c r="I27" s="78" t="s">
        <v>63</v>
      </c>
      <c r="L27" s="79" t="s">
        <v>64</v>
      </c>
    </row>
    <row r="28" spans="1:12" s="74" customFormat="1" ht="15.75" customHeight="1" x14ac:dyDescent="0.25">
      <c r="A28" s="65" t="s">
        <v>65</v>
      </c>
      <c r="B28" s="73" t="s">
        <v>66</v>
      </c>
      <c r="C28" s="67" t="s">
        <v>67</v>
      </c>
      <c r="D28" s="68">
        <v>2610</v>
      </c>
      <c r="E28" s="69">
        <f t="shared" si="1"/>
        <v>8.6434224614798105E-3</v>
      </c>
      <c r="F28" s="70">
        <f t="shared" si="2"/>
        <v>743.73927602958406</v>
      </c>
      <c r="G28" s="71">
        <f t="shared" si="3"/>
        <v>37.186963801479202</v>
      </c>
      <c r="H28" s="71">
        <f t="shared" si="0"/>
        <v>780.9262398310633</v>
      </c>
    </row>
    <row r="29" spans="1:12" s="74" customFormat="1" ht="15.75" customHeight="1" x14ac:dyDescent="0.25">
      <c r="A29" s="65" t="s">
        <v>68</v>
      </c>
      <c r="B29" s="73" t="s">
        <v>69</v>
      </c>
      <c r="C29" s="67" t="s">
        <v>70</v>
      </c>
      <c r="D29" s="68">
        <v>5515</v>
      </c>
      <c r="E29" s="69">
        <f t="shared" si="1"/>
        <v>1.8263783477034924E-2</v>
      </c>
      <c r="F29" s="70">
        <f t="shared" si="2"/>
        <v>1571.5410372809026</v>
      </c>
      <c r="G29" s="71">
        <f t="shared" si="3"/>
        <v>78.577051864045131</v>
      </c>
      <c r="H29" s="71">
        <f t="shared" si="0"/>
        <v>1650.1180891449478</v>
      </c>
    </row>
    <row r="30" spans="1:12" s="74" customFormat="1" ht="15.75" customHeight="1" x14ac:dyDescent="0.25">
      <c r="A30" s="65" t="s">
        <v>71</v>
      </c>
      <c r="B30" s="66" t="s">
        <v>72</v>
      </c>
      <c r="C30" s="67">
        <v>17202383000183</v>
      </c>
      <c r="D30" s="68">
        <v>15332</v>
      </c>
      <c r="E30" s="69">
        <f t="shared" si="1"/>
        <v>5.0774311562991746E-2</v>
      </c>
      <c r="F30" s="70">
        <f t="shared" si="2"/>
        <v>4368.9695709140169</v>
      </c>
      <c r="G30" s="71">
        <f t="shared" si="3"/>
        <v>218.44847854570085</v>
      </c>
      <c r="H30" s="71">
        <f t="shared" si="0"/>
        <v>4587.4180494597176</v>
      </c>
    </row>
    <row r="31" spans="1:12" s="74" customFormat="1" ht="15.75" customHeight="1" x14ac:dyDescent="0.25">
      <c r="A31" s="65" t="s">
        <v>73</v>
      </c>
      <c r="B31" s="66" t="s">
        <v>74</v>
      </c>
      <c r="C31" s="67">
        <v>18183488000103</v>
      </c>
      <c r="D31" s="68">
        <v>7238</v>
      </c>
      <c r="E31" s="69">
        <f t="shared" si="1"/>
        <v>2.3969766964057802E-2</v>
      </c>
      <c r="F31" s="70">
        <f t="shared" si="2"/>
        <v>2062.5229424912372</v>
      </c>
      <c r="G31" s="71">
        <f t="shared" si="3"/>
        <v>103.12614712456187</v>
      </c>
      <c r="H31" s="71">
        <f t="shared" si="0"/>
        <v>2165.6490896157993</v>
      </c>
    </row>
    <row r="32" spans="1:12" s="74" customFormat="1" x14ac:dyDescent="0.25">
      <c r="A32" s="65" t="s">
        <v>75</v>
      </c>
      <c r="B32" s="66" t="s">
        <v>76</v>
      </c>
      <c r="C32" s="67">
        <v>18244070000150</v>
      </c>
      <c r="D32" s="68">
        <v>5941</v>
      </c>
      <c r="E32" s="69">
        <f t="shared" si="1"/>
        <v>1.9674548982241975E-2</v>
      </c>
      <c r="F32" s="70">
        <f t="shared" si="2"/>
        <v>1692.9329650926281</v>
      </c>
      <c r="G32" s="71">
        <f t="shared" si="3"/>
        <v>84.646648254631415</v>
      </c>
      <c r="H32" s="71">
        <f t="shared" si="0"/>
        <v>1777.5796133472595</v>
      </c>
    </row>
    <row r="33" spans="1:12" s="74" customFormat="1" x14ac:dyDescent="0.25">
      <c r="A33" s="65" t="s">
        <v>77</v>
      </c>
      <c r="B33" s="66" t="s">
        <v>78</v>
      </c>
      <c r="C33" s="67">
        <v>18244039000110</v>
      </c>
      <c r="D33" s="68">
        <v>4460</v>
      </c>
      <c r="E33" s="69">
        <f t="shared" si="1"/>
        <v>1.4769986275172396E-2</v>
      </c>
      <c r="F33" s="70">
        <f t="shared" si="2"/>
        <v>1270.9107935218181</v>
      </c>
      <c r="G33" s="71">
        <f t="shared" si="3"/>
        <v>63.545539676090904</v>
      </c>
      <c r="H33" s="71">
        <f t="shared" si="0"/>
        <v>1334.4563331979089</v>
      </c>
    </row>
    <row r="34" spans="1:12" s="74" customFormat="1" x14ac:dyDescent="0.25">
      <c r="A34" s="65" t="s">
        <v>79</v>
      </c>
      <c r="B34" s="66" t="s">
        <v>153</v>
      </c>
      <c r="C34" s="67" t="s">
        <v>154</v>
      </c>
      <c r="D34" s="68">
        <v>4415</v>
      </c>
      <c r="E34" s="69">
        <f t="shared" si="1"/>
        <v>1.4620961749974468E-2</v>
      </c>
      <c r="F34" s="70">
        <f t="shared" si="2"/>
        <v>1258.0877025557907</v>
      </c>
      <c r="G34" s="71">
        <f t="shared" si="3"/>
        <v>62.904385127789539</v>
      </c>
      <c r="H34" s="71">
        <f t="shared" si="0"/>
        <v>1320.9920876835802</v>
      </c>
    </row>
    <row r="35" spans="1:12" s="74" customFormat="1" x14ac:dyDescent="0.25">
      <c r="A35" s="65" t="s">
        <v>81</v>
      </c>
      <c r="B35" s="66" t="s">
        <v>82</v>
      </c>
      <c r="C35" s="67" t="s">
        <v>83</v>
      </c>
      <c r="D35" s="68">
        <v>8673</v>
      </c>
      <c r="E35" s="69">
        <f t="shared" si="1"/>
        <v>2.8721993489813944E-2</v>
      </c>
      <c r="F35" s="70">
        <f t="shared" si="2"/>
        <v>2471.4370655189973</v>
      </c>
      <c r="G35" s="71">
        <f t="shared" si="3"/>
        <v>123.57185327594988</v>
      </c>
      <c r="H35" s="71">
        <f t="shared" si="0"/>
        <v>2595.008918794947</v>
      </c>
    </row>
    <row r="36" spans="1:12" s="74" customFormat="1" x14ac:dyDescent="0.25">
      <c r="A36" s="65" t="s">
        <v>84</v>
      </c>
      <c r="B36" s="66" t="s">
        <v>155</v>
      </c>
      <c r="C36" s="67" t="s">
        <v>86</v>
      </c>
      <c r="D36" s="68">
        <v>9239</v>
      </c>
      <c r="E36" s="69">
        <f t="shared" si="1"/>
        <v>3.0596390851192326E-2</v>
      </c>
      <c r="F36" s="70">
        <f t="shared" si="2"/>
        <v>2632.7230541139184</v>
      </c>
      <c r="G36" s="71">
        <f t="shared" si="3"/>
        <v>131.63615270569593</v>
      </c>
      <c r="H36" s="71">
        <f t="shared" si="0"/>
        <v>2764.3592068196144</v>
      </c>
    </row>
    <row r="37" spans="1:12" s="74" customFormat="1" x14ac:dyDescent="0.25">
      <c r="A37" s="65" t="s">
        <v>87</v>
      </c>
      <c r="B37" s="66" t="s">
        <v>88</v>
      </c>
      <c r="C37" s="67" t="s">
        <v>89</v>
      </c>
      <c r="D37" s="68">
        <v>4892</v>
      </c>
      <c r="E37" s="69">
        <f t="shared" si="1"/>
        <v>1.6200621717072504E-2</v>
      </c>
      <c r="F37" s="70">
        <f t="shared" si="2"/>
        <v>1394.0124667956802</v>
      </c>
      <c r="G37" s="71">
        <f t="shared" si="3"/>
        <v>69.700623339784016</v>
      </c>
      <c r="H37" s="71">
        <f t="shared" si="0"/>
        <v>1463.7130901354642</v>
      </c>
    </row>
    <row r="38" spans="1:12" s="74" customFormat="1" x14ac:dyDescent="0.25">
      <c r="A38" s="65" t="s">
        <v>90</v>
      </c>
      <c r="B38" s="66" t="s">
        <v>91</v>
      </c>
      <c r="C38" s="67">
        <v>41497649000147</v>
      </c>
      <c r="D38" s="68">
        <v>2526</v>
      </c>
      <c r="E38" s="69">
        <f t="shared" si="1"/>
        <v>8.3652433477770117E-3</v>
      </c>
      <c r="F38" s="70">
        <f t="shared" si="2"/>
        <v>719.80283955966638</v>
      </c>
      <c r="G38" s="71">
        <f t="shared" si="3"/>
        <v>35.99014197798332</v>
      </c>
      <c r="H38" s="71">
        <f t="shared" si="0"/>
        <v>755.79298153764967</v>
      </c>
    </row>
    <row r="39" spans="1:12" s="74" customFormat="1" x14ac:dyDescent="0.25">
      <c r="A39" s="65" t="s">
        <v>92</v>
      </c>
      <c r="B39" s="66" t="s">
        <v>93</v>
      </c>
      <c r="C39" s="67">
        <v>40580071000125</v>
      </c>
      <c r="D39" s="68">
        <v>3600</v>
      </c>
      <c r="E39" s="69">
        <f t="shared" si="1"/>
        <v>1.1921962015834221E-2</v>
      </c>
      <c r="F39" s="70">
        <f t="shared" si="2"/>
        <v>1025.8472772821849</v>
      </c>
      <c r="G39" s="71">
        <f t="shared" si="3"/>
        <v>51.292363864109248</v>
      </c>
      <c r="H39" s="71">
        <f t="shared" si="0"/>
        <v>1077.1396411462943</v>
      </c>
      <c r="I39" s="78" t="s">
        <v>63</v>
      </c>
      <c r="L39" s="74" t="s">
        <v>94</v>
      </c>
    </row>
    <row r="40" spans="1:12" s="74" customFormat="1" x14ac:dyDescent="0.25">
      <c r="A40" s="65" t="s">
        <v>95</v>
      </c>
      <c r="B40" s="66" t="s">
        <v>96</v>
      </c>
      <c r="C40" s="67" t="s">
        <v>97</v>
      </c>
      <c r="D40" s="68">
        <v>3938</v>
      </c>
      <c r="E40" s="69">
        <f t="shared" si="1"/>
        <v>1.3041301782876434E-2</v>
      </c>
      <c r="F40" s="70">
        <f t="shared" si="2"/>
        <v>1122.1629383159011</v>
      </c>
      <c r="G40" s="71">
        <f t="shared" si="3"/>
        <v>56.108146915795061</v>
      </c>
      <c r="H40" s="71">
        <f t="shared" si="0"/>
        <v>1178.2710852316961</v>
      </c>
    </row>
    <row r="41" spans="1:12" s="74" customFormat="1" x14ac:dyDescent="0.25">
      <c r="A41" s="65" t="s">
        <v>98</v>
      </c>
      <c r="B41" s="66" t="s">
        <v>99</v>
      </c>
      <c r="C41" s="67">
        <v>18788190000119</v>
      </c>
      <c r="D41" s="68">
        <v>3707</v>
      </c>
      <c r="E41" s="69">
        <f t="shared" si="1"/>
        <v>1.2276309220193739E-2</v>
      </c>
      <c r="F41" s="70">
        <f t="shared" si="2"/>
        <v>1056.3377380236277</v>
      </c>
      <c r="G41" s="71">
        <f t="shared" si="3"/>
        <v>52.816886901181391</v>
      </c>
      <c r="H41" s="71">
        <f t="shared" si="0"/>
        <v>1109.154624924809</v>
      </c>
    </row>
    <row r="42" spans="1:12" s="74" customFormat="1" x14ac:dyDescent="0.25">
      <c r="A42" s="65" t="s">
        <v>100</v>
      </c>
      <c r="B42" s="66" t="s">
        <v>101</v>
      </c>
      <c r="C42" s="67">
        <v>42109766000159</v>
      </c>
      <c r="D42" s="68">
        <v>5117</v>
      </c>
      <c r="E42" s="69">
        <f t="shared" si="1"/>
        <v>1.694574434306214E-2</v>
      </c>
      <c r="F42" s="70">
        <f t="shared" si="2"/>
        <v>1458.1279216258165</v>
      </c>
      <c r="G42" s="71">
        <f t="shared" si="3"/>
        <v>72.906396081290822</v>
      </c>
      <c r="H42" s="71">
        <f t="shared" si="0"/>
        <v>1531.0343177071072</v>
      </c>
    </row>
    <row r="43" spans="1:12" s="74" customFormat="1" x14ac:dyDescent="0.25">
      <c r="A43" s="65" t="s">
        <v>102</v>
      </c>
      <c r="B43" s="66" t="s">
        <v>99</v>
      </c>
      <c r="C43" s="67">
        <v>18788190000119</v>
      </c>
      <c r="D43" s="68">
        <v>14717</v>
      </c>
      <c r="E43" s="69">
        <f t="shared" si="1"/>
        <v>4.8737643051953397E-2</v>
      </c>
      <c r="F43" s="70">
        <f t="shared" si="2"/>
        <v>4193.7206610449766</v>
      </c>
      <c r="G43" s="71">
        <f t="shared" si="3"/>
        <v>209.68603305224883</v>
      </c>
      <c r="H43" s="71">
        <f t="shared" si="0"/>
        <v>4403.4066940972252</v>
      </c>
    </row>
    <row r="44" spans="1:12" s="74" customFormat="1" ht="13.5" customHeight="1" x14ac:dyDescent="0.25">
      <c r="A44" s="65" t="s">
        <v>103</v>
      </c>
      <c r="B44" s="66" t="s">
        <v>104</v>
      </c>
      <c r="C44" s="67">
        <v>32302613000170</v>
      </c>
      <c r="D44" s="68">
        <v>5439</v>
      </c>
      <c r="E44" s="69">
        <f t="shared" si="1"/>
        <v>1.8012097612256202E-2</v>
      </c>
      <c r="F44" s="70">
        <f t="shared" si="2"/>
        <v>1549.8842614271678</v>
      </c>
      <c r="G44" s="71">
        <f t="shared" si="3"/>
        <v>77.494213071358388</v>
      </c>
      <c r="H44" s="71">
        <f t="shared" si="0"/>
        <v>1627.3784744985262</v>
      </c>
    </row>
    <row r="45" spans="1:12" s="74" customFormat="1" x14ac:dyDescent="0.25">
      <c r="A45" s="65" t="s">
        <v>105</v>
      </c>
      <c r="B45" s="66" t="s">
        <v>106</v>
      </c>
      <c r="C45" s="67">
        <v>28616552000148</v>
      </c>
      <c r="D45" s="68">
        <v>4123.71</v>
      </c>
      <c r="E45" s="69">
        <f t="shared" si="1"/>
        <v>1.3656309440087704E-2</v>
      </c>
      <c r="F45" s="70">
        <f t="shared" si="2"/>
        <v>1175.0824099448107</v>
      </c>
      <c r="G45" s="71">
        <f t="shared" si="3"/>
        <v>58.754120497240535</v>
      </c>
      <c r="H45" s="71">
        <f t="shared" si="0"/>
        <v>1233.8365304420513</v>
      </c>
    </row>
    <row r="46" spans="1:12" s="74" customFormat="1" x14ac:dyDescent="0.25">
      <c r="A46" s="65" t="s">
        <v>107</v>
      </c>
      <c r="B46" s="66" t="s">
        <v>108</v>
      </c>
      <c r="C46" s="67">
        <v>42579914000107</v>
      </c>
      <c r="D46" s="68">
        <v>4986.3599999999997</v>
      </c>
      <c r="E46" s="69">
        <f t="shared" si="1"/>
        <v>1.6513109588131979E-2</v>
      </c>
      <c r="F46" s="70">
        <f t="shared" si="2"/>
        <v>1420.9010637635542</v>
      </c>
      <c r="G46" s="71">
        <f t="shared" si="3"/>
        <v>71.045053188177718</v>
      </c>
      <c r="H46" s="71">
        <f t="shared" si="0"/>
        <v>1491.9461169517319</v>
      </c>
    </row>
    <row r="47" spans="1:12" s="74" customFormat="1" x14ac:dyDescent="0.25">
      <c r="A47" s="65" t="s">
        <v>109</v>
      </c>
      <c r="B47" s="66" t="s">
        <v>110</v>
      </c>
      <c r="C47" s="67" t="s">
        <v>111</v>
      </c>
      <c r="D47" s="68">
        <v>7462</v>
      </c>
      <c r="E47" s="69">
        <f t="shared" si="1"/>
        <v>2.4711577933931934E-2</v>
      </c>
      <c r="F47" s="70">
        <f t="shared" si="2"/>
        <v>2126.3534397443514</v>
      </c>
      <c r="G47" s="71">
        <f t="shared" si="3"/>
        <v>106.31767198721758</v>
      </c>
      <c r="H47" s="71">
        <f t="shared" si="0"/>
        <v>2232.671111731569</v>
      </c>
    </row>
    <row r="48" spans="1:12" s="74" customFormat="1" x14ac:dyDescent="0.25">
      <c r="A48" s="65" t="s">
        <v>112</v>
      </c>
      <c r="B48" s="66" t="s">
        <v>113</v>
      </c>
      <c r="C48" s="67" t="s">
        <v>114</v>
      </c>
      <c r="D48" s="68">
        <v>5525</v>
      </c>
      <c r="E48" s="69">
        <f t="shared" si="1"/>
        <v>1.8296900038190018E-2</v>
      </c>
      <c r="F48" s="70">
        <f t="shared" si="2"/>
        <v>1574.3906130511309</v>
      </c>
      <c r="G48" s="71">
        <f t="shared" si="3"/>
        <v>78.719530652556557</v>
      </c>
      <c r="H48" s="71">
        <f t="shared" si="0"/>
        <v>1653.1101437036875</v>
      </c>
    </row>
    <row r="49" spans="1:8" s="74" customFormat="1" x14ac:dyDescent="0.25">
      <c r="A49" s="65" t="s">
        <v>115</v>
      </c>
      <c r="B49" s="66" t="s">
        <v>116</v>
      </c>
      <c r="C49" s="67">
        <v>26480299000112</v>
      </c>
      <c r="D49" s="68"/>
      <c r="E49" s="69">
        <f t="shared" si="1"/>
        <v>0</v>
      </c>
      <c r="F49" s="70">
        <f t="shared" si="2"/>
        <v>0</v>
      </c>
      <c r="G49" s="71">
        <f t="shared" si="3"/>
        <v>0</v>
      </c>
      <c r="H49" s="71">
        <f t="shared" si="0"/>
        <v>0</v>
      </c>
    </row>
    <row r="50" spans="1:8" s="74" customFormat="1" x14ac:dyDescent="0.25">
      <c r="A50" s="65" t="s">
        <v>117</v>
      </c>
      <c r="B50" s="66" t="s">
        <v>118</v>
      </c>
      <c r="C50" s="67" t="s">
        <v>119</v>
      </c>
      <c r="D50" s="68">
        <v>4943</v>
      </c>
      <c r="E50" s="69">
        <f t="shared" si="1"/>
        <v>1.6369516178963487E-2</v>
      </c>
      <c r="F50" s="70">
        <f t="shared" si="2"/>
        <v>1408.5453032238445</v>
      </c>
      <c r="G50" s="71">
        <f t="shared" si="3"/>
        <v>70.427265161192224</v>
      </c>
      <c r="H50" s="71">
        <f t="shared" si="0"/>
        <v>1478.9725683850368</v>
      </c>
    </row>
    <row r="51" spans="1:8" s="74" customFormat="1" x14ac:dyDescent="0.25">
      <c r="A51" s="65" t="s">
        <v>120</v>
      </c>
      <c r="B51" s="66" t="s">
        <v>121</v>
      </c>
      <c r="C51" s="67">
        <v>12997366000166</v>
      </c>
      <c r="D51" s="68">
        <v>5160</v>
      </c>
      <c r="E51" s="69">
        <f t="shared" si="1"/>
        <v>1.7088145556029052E-2</v>
      </c>
      <c r="F51" s="70">
        <f t="shared" si="2"/>
        <v>1470.3810974377984</v>
      </c>
      <c r="G51" s="71">
        <f t="shared" si="3"/>
        <v>73.519054871889921</v>
      </c>
      <c r="H51" s="71">
        <f t="shared" si="0"/>
        <v>1543.9001523096883</v>
      </c>
    </row>
    <row r="52" spans="1:8" s="74" customFormat="1" ht="16.5" customHeight="1" x14ac:dyDescent="0.25">
      <c r="A52" s="65" t="s">
        <v>122</v>
      </c>
      <c r="B52" s="66" t="s">
        <v>123</v>
      </c>
      <c r="C52" s="67" t="s">
        <v>124</v>
      </c>
      <c r="D52" s="68">
        <v>6586</v>
      </c>
      <c r="E52" s="69">
        <f t="shared" si="1"/>
        <v>2.1810567176745607E-2</v>
      </c>
      <c r="F52" s="70">
        <f t="shared" si="2"/>
        <v>1876.7306022723528</v>
      </c>
      <c r="G52" s="71">
        <f t="shared" si="3"/>
        <v>93.836530113617641</v>
      </c>
      <c r="H52" s="71">
        <f t="shared" si="0"/>
        <v>1970.5671323859706</v>
      </c>
    </row>
    <row r="53" spans="1:8" s="74" customFormat="1" x14ac:dyDescent="0.25">
      <c r="A53" s="65" t="s">
        <v>125</v>
      </c>
      <c r="B53" s="66" t="s">
        <v>126</v>
      </c>
      <c r="C53" s="67">
        <v>11884518000151</v>
      </c>
      <c r="D53" s="68">
        <v>5644</v>
      </c>
      <c r="E53" s="69">
        <f t="shared" si="1"/>
        <v>1.8690987115935653E-2</v>
      </c>
      <c r="F53" s="70">
        <f t="shared" si="2"/>
        <v>1608.3005647168479</v>
      </c>
      <c r="G53" s="71">
        <f t="shared" si="3"/>
        <v>80.415028235842399</v>
      </c>
      <c r="H53" s="71">
        <f t="shared" si="0"/>
        <v>1688.7155929526903</v>
      </c>
    </row>
    <row r="54" spans="1:8" s="74" customFormat="1" x14ac:dyDescent="0.25">
      <c r="A54" s="65" t="s">
        <v>127</v>
      </c>
      <c r="B54" s="66" t="s">
        <v>128</v>
      </c>
      <c r="C54" s="67">
        <v>36188051000136</v>
      </c>
      <c r="D54" s="68">
        <v>6936</v>
      </c>
      <c r="E54" s="69">
        <f t="shared" si="1"/>
        <v>2.2969646817173933E-2</v>
      </c>
      <c r="F54" s="70">
        <f t="shared" si="2"/>
        <v>1976.465754230343</v>
      </c>
      <c r="G54" s="71">
        <f t="shared" si="3"/>
        <v>98.823287711517153</v>
      </c>
      <c r="H54" s="71">
        <f t="shared" si="0"/>
        <v>2075.28904194186</v>
      </c>
    </row>
    <row r="55" spans="1:8" s="74" customFormat="1" x14ac:dyDescent="0.25">
      <c r="A55" s="65" t="s">
        <v>129</v>
      </c>
      <c r="B55" s="66" t="s">
        <v>130</v>
      </c>
      <c r="C55" s="67" t="s">
        <v>131</v>
      </c>
      <c r="D55" s="68">
        <f>7425*40%</f>
        <v>2970</v>
      </c>
      <c r="E55" s="69">
        <f t="shared" si="1"/>
        <v>9.8356186630632319E-3</v>
      </c>
      <c r="F55" s="70">
        <f t="shared" si="2"/>
        <v>846.32400375780253</v>
      </c>
      <c r="G55" s="71">
        <f t="shared" si="3"/>
        <v>42.316200187890132</v>
      </c>
      <c r="H55" s="71">
        <f t="shared" si="0"/>
        <v>888.64020394569263</v>
      </c>
    </row>
    <row r="56" spans="1:8" s="74" customFormat="1" x14ac:dyDescent="0.25">
      <c r="A56" s="65" t="s">
        <v>132</v>
      </c>
      <c r="B56" s="66" t="s">
        <v>133</v>
      </c>
      <c r="C56" s="67">
        <v>18741082000190</v>
      </c>
      <c r="D56" s="68">
        <v>12183</v>
      </c>
      <c r="E56" s="69">
        <f t="shared" si="1"/>
        <v>4.0345906455252309E-2</v>
      </c>
      <c r="F56" s="70">
        <f t="shared" si="2"/>
        <v>3471.6381608691272</v>
      </c>
      <c r="G56" s="71">
        <f t="shared" si="3"/>
        <v>173.58190804345637</v>
      </c>
      <c r="H56" s="71">
        <f t="shared" si="0"/>
        <v>3645.2200689125834</v>
      </c>
    </row>
    <row r="57" spans="1:8" s="74" customFormat="1" x14ac:dyDescent="0.25">
      <c r="A57" s="65" t="s">
        <v>134</v>
      </c>
      <c r="B57" s="66" t="s">
        <v>135</v>
      </c>
      <c r="C57" s="67" t="s">
        <v>136</v>
      </c>
      <c r="D57" s="68">
        <v>4814</v>
      </c>
      <c r="E57" s="69">
        <f t="shared" si="1"/>
        <v>1.5942312540062762E-2</v>
      </c>
      <c r="F57" s="70">
        <f t="shared" si="2"/>
        <v>1371.7857757878996</v>
      </c>
      <c r="G57" s="71">
        <f t="shared" si="3"/>
        <v>68.589288789394985</v>
      </c>
      <c r="H57" s="71">
        <f t="shared" si="0"/>
        <v>1440.3750645772946</v>
      </c>
    </row>
    <row r="58" spans="1:8" s="74" customFormat="1" x14ac:dyDescent="0.25">
      <c r="A58" s="65" t="s">
        <v>137</v>
      </c>
      <c r="B58" s="66" t="s">
        <v>138</v>
      </c>
      <c r="C58" s="67" t="s">
        <v>139</v>
      </c>
      <c r="D58" s="68">
        <v>3476.86</v>
      </c>
      <c r="E58" s="69">
        <f t="shared" si="1"/>
        <v>1.1514164681770382E-2</v>
      </c>
      <c r="F58" s="70">
        <f t="shared" si="2"/>
        <v>990.75760124759381</v>
      </c>
      <c r="G58" s="71">
        <f t="shared" si="3"/>
        <v>49.537880062379692</v>
      </c>
      <c r="H58" s="71">
        <f t="shared" si="0"/>
        <v>1040.2954813099734</v>
      </c>
    </row>
    <row r="59" spans="1:8" s="74" customFormat="1" x14ac:dyDescent="0.25">
      <c r="A59" s="65" t="s">
        <v>140</v>
      </c>
      <c r="B59" s="73" t="s">
        <v>141</v>
      </c>
      <c r="C59" s="67">
        <v>11884518000151</v>
      </c>
      <c r="D59" s="68">
        <f>81377.44-14717-3314-9239+11302+4126.33</f>
        <v>69535.77</v>
      </c>
      <c r="E59" s="69">
        <f t="shared" si="1"/>
        <v>0.23027855796716246</v>
      </c>
      <c r="F59" s="70">
        <f t="shared" si="2"/>
        <v>19814.744535616734</v>
      </c>
      <c r="G59" s="71">
        <f t="shared" si="3"/>
        <v>990.73722678083675</v>
      </c>
      <c r="H59" s="71">
        <f t="shared" si="0"/>
        <v>20805.481762397569</v>
      </c>
    </row>
    <row r="60" spans="1:8" customFormat="1" x14ac:dyDescent="0.25">
      <c r="A60" s="34"/>
      <c r="B60" s="35"/>
      <c r="C60" s="36" t="s">
        <v>142</v>
      </c>
      <c r="D60" s="37">
        <f>SUM(D19:D59)</f>
        <v>301963.71999999997</v>
      </c>
      <c r="E60" s="38">
        <f>SUM(E19:E59)</f>
        <v>1</v>
      </c>
      <c r="F60" s="39">
        <f>SUM(F19:F59)</f>
        <v>86046.85</v>
      </c>
      <c r="G60" s="39">
        <f>SUM(G19:G59)</f>
        <v>4302.3424999999997</v>
      </c>
      <c r="H60" s="40">
        <f>SUM(H19:H59)</f>
        <v>90349.192500000005</v>
      </c>
    </row>
    <row r="61" spans="1:8" customFormat="1" x14ac:dyDescent="0.25">
      <c r="F61" s="41"/>
    </row>
    <row r="62" spans="1:8" customFormat="1" x14ac:dyDescent="0.25">
      <c r="F62" s="41"/>
    </row>
    <row r="63" spans="1:8" customFormat="1" x14ac:dyDescent="0.25">
      <c r="B63" s="115" t="s">
        <v>143</v>
      </c>
      <c r="C63" s="115"/>
      <c r="F63" s="41"/>
    </row>
    <row r="64" spans="1:8" customFormat="1" x14ac:dyDescent="0.25">
      <c r="B64" s="116" t="s">
        <v>144</v>
      </c>
      <c r="C64" s="117"/>
      <c r="E64" s="41"/>
      <c r="H64" s="42"/>
    </row>
    <row r="65" spans="4:8" customFormat="1" x14ac:dyDescent="0.25">
      <c r="E65" s="41"/>
      <c r="H65" s="43"/>
    </row>
    <row r="66" spans="4:8" customFormat="1" x14ac:dyDescent="0.25">
      <c r="D66" s="44"/>
      <c r="E66" s="41"/>
      <c r="H66" s="42"/>
    </row>
    <row r="67" spans="4:8" customFormat="1" x14ac:dyDescent="0.25">
      <c r="E67" s="41"/>
    </row>
    <row r="68" spans="4:8" customFormat="1" x14ac:dyDescent="0.25"/>
    <row r="69" spans="4:8" customFormat="1" x14ac:dyDescent="0.25"/>
    <row r="70" spans="4:8" customFormat="1" x14ac:dyDescent="0.25"/>
    <row r="71" spans="4:8" customFormat="1" x14ac:dyDescent="0.25"/>
    <row r="72" spans="4:8" customFormat="1" x14ac:dyDescent="0.25"/>
    <row r="73" spans="4:8" customFormat="1" x14ac:dyDescent="0.25"/>
    <row r="74" spans="4:8" customFormat="1" x14ac:dyDescent="0.25"/>
    <row r="75" spans="4:8" customFormat="1" x14ac:dyDescent="0.25"/>
    <row r="76" spans="4:8" customFormat="1" x14ac:dyDescent="0.25"/>
    <row r="77" spans="4:8" customFormat="1" x14ac:dyDescent="0.25"/>
    <row r="78" spans="4:8" customFormat="1" x14ac:dyDescent="0.25"/>
    <row r="79" spans="4:8" customFormat="1" x14ac:dyDescent="0.25"/>
    <row r="80" spans="4:8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spans="1:8" customFormat="1" x14ac:dyDescent="0.25"/>
    <row r="146" spans="1:8" customFormat="1" x14ac:dyDescent="0.25"/>
    <row r="147" spans="1:8" customFormat="1" x14ac:dyDescent="0.25">
      <c r="A147" s="45"/>
      <c r="B147" s="45"/>
      <c r="C147" s="45"/>
      <c r="D147" s="45"/>
      <c r="E147" s="45"/>
    </row>
    <row r="148" spans="1:8" x14ac:dyDescent="0.25">
      <c r="F148"/>
      <c r="G148"/>
      <c r="H148"/>
    </row>
    <row r="149" spans="1:8" x14ac:dyDescent="0.25">
      <c r="F149"/>
      <c r="G149"/>
      <c r="H149"/>
    </row>
    <row r="150" spans="1:8" x14ac:dyDescent="0.25">
      <c r="F150"/>
      <c r="G150"/>
      <c r="H150"/>
    </row>
    <row r="151" spans="1:8" x14ac:dyDescent="0.25">
      <c r="F151"/>
      <c r="G151"/>
      <c r="H151"/>
    </row>
    <row r="152" spans="1:8" x14ac:dyDescent="0.25">
      <c r="F152"/>
      <c r="G152"/>
      <c r="H152"/>
    </row>
    <row r="153" spans="1:8" x14ac:dyDescent="0.25">
      <c r="F153"/>
      <c r="G153"/>
      <c r="H153"/>
    </row>
    <row r="154" spans="1:8" x14ac:dyDescent="0.25">
      <c r="F154"/>
      <c r="G154"/>
      <c r="H154"/>
    </row>
    <row r="155" spans="1:8" x14ac:dyDescent="0.25">
      <c r="F155"/>
      <c r="G155"/>
      <c r="H155"/>
    </row>
    <row r="156" spans="1:8" x14ac:dyDescent="0.25">
      <c r="F156"/>
      <c r="G156"/>
      <c r="H156"/>
    </row>
    <row r="157" spans="1:8" x14ac:dyDescent="0.25">
      <c r="F157"/>
      <c r="G157"/>
      <c r="H157"/>
    </row>
    <row r="158" spans="1:8" x14ac:dyDescent="0.25">
      <c r="F158"/>
      <c r="G158"/>
      <c r="H158"/>
    </row>
    <row r="159" spans="1:8" x14ac:dyDescent="0.25">
      <c r="F159"/>
      <c r="G159"/>
      <c r="H159"/>
    </row>
    <row r="160" spans="1:8" x14ac:dyDescent="0.25">
      <c r="F160"/>
      <c r="G160"/>
      <c r="H160"/>
    </row>
    <row r="161" spans="6:8" x14ac:dyDescent="0.25">
      <c r="F161"/>
      <c r="G161"/>
      <c r="H161"/>
    </row>
    <row r="162" spans="6:8" x14ac:dyDescent="0.25">
      <c r="F162"/>
      <c r="G162"/>
      <c r="H162"/>
    </row>
    <row r="163" spans="6:8" x14ac:dyDescent="0.25">
      <c r="F163"/>
      <c r="G163"/>
      <c r="H163"/>
    </row>
    <row r="164" spans="6:8" x14ac:dyDescent="0.25">
      <c r="F164"/>
      <c r="G164"/>
      <c r="H164"/>
    </row>
    <row r="165" spans="6:8" x14ac:dyDescent="0.25">
      <c r="F165"/>
      <c r="G165"/>
      <c r="H165"/>
    </row>
    <row r="166" spans="6:8" x14ac:dyDescent="0.25">
      <c r="F166"/>
      <c r="G166"/>
      <c r="H166"/>
    </row>
    <row r="167" spans="6:8" x14ac:dyDescent="0.25">
      <c r="F167"/>
      <c r="G167"/>
      <c r="H167"/>
    </row>
    <row r="168" spans="6:8" x14ac:dyDescent="0.25">
      <c r="F168"/>
      <c r="G168"/>
      <c r="H168"/>
    </row>
    <row r="169" spans="6:8" x14ac:dyDescent="0.25">
      <c r="F169"/>
      <c r="G169"/>
      <c r="H169"/>
    </row>
    <row r="170" spans="6:8" x14ac:dyDescent="0.25">
      <c r="F170"/>
      <c r="G170"/>
      <c r="H170"/>
    </row>
    <row r="171" spans="6:8" x14ac:dyDescent="0.25">
      <c r="F171"/>
      <c r="G171"/>
      <c r="H171"/>
    </row>
    <row r="172" spans="6:8" x14ac:dyDescent="0.25">
      <c r="F172"/>
      <c r="G172"/>
      <c r="H172"/>
    </row>
    <row r="173" spans="6:8" x14ac:dyDescent="0.25">
      <c r="F173"/>
      <c r="G173"/>
      <c r="H173"/>
    </row>
    <row r="174" spans="6:8" x14ac:dyDescent="0.25">
      <c r="F174"/>
      <c r="G174"/>
      <c r="H174"/>
    </row>
    <row r="175" spans="6:8" x14ac:dyDescent="0.25">
      <c r="F175"/>
      <c r="G175"/>
      <c r="H175"/>
    </row>
    <row r="176" spans="6:8" x14ac:dyDescent="0.25">
      <c r="F176"/>
      <c r="G176"/>
      <c r="H176"/>
    </row>
    <row r="177" spans="6:8" x14ac:dyDescent="0.25">
      <c r="F177"/>
      <c r="G177"/>
      <c r="H177"/>
    </row>
    <row r="178" spans="6:8" x14ac:dyDescent="0.25">
      <c r="F178"/>
      <c r="G178"/>
      <c r="H178"/>
    </row>
    <row r="179" spans="6:8" x14ac:dyDescent="0.25">
      <c r="F179"/>
      <c r="G179"/>
      <c r="H179"/>
    </row>
    <row r="180" spans="6:8" x14ac:dyDescent="0.25">
      <c r="F180"/>
      <c r="G180"/>
      <c r="H180"/>
    </row>
    <row r="181" spans="6:8" x14ac:dyDescent="0.25">
      <c r="F181"/>
      <c r="G181"/>
      <c r="H181"/>
    </row>
    <row r="182" spans="6:8" x14ac:dyDescent="0.25">
      <c r="F182"/>
      <c r="G182"/>
      <c r="H182"/>
    </row>
    <row r="183" spans="6:8" x14ac:dyDescent="0.25">
      <c r="F183"/>
      <c r="G183"/>
      <c r="H183"/>
    </row>
    <row r="184" spans="6:8" x14ac:dyDescent="0.25">
      <c r="F184"/>
      <c r="G184"/>
      <c r="H184"/>
    </row>
    <row r="185" spans="6:8" x14ac:dyDescent="0.25">
      <c r="F185"/>
      <c r="G185"/>
      <c r="H185"/>
    </row>
    <row r="186" spans="6:8" x14ac:dyDescent="0.25">
      <c r="F186"/>
      <c r="G186"/>
      <c r="H186"/>
    </row>
    <row r="187" spans="6:8" x14ac:dyDescent="0.25">
      <c r="F187"/>
      <c r="G187"/>
      <c r="H187"/>
    </row>
    <row r="188" spans="6:8" x14ac:dyDescent="0.25">
      <c r="F188"/>
      <c r="G188"/>
      <c r="H188"/>
    </row>
    <row r="189" spans="6:8" x14ac:dyDescent="0.25">
      <c r="F189"/>
      <c r="G189"/>
      <c r="H189"/>
    </row>
    <row r="190" spans="6:8" x14ac:dyDescent="0.25">
      <c r="F190"/>
      <c r="G190"/>
      <c r="H190"/>
    </row>
    <row r="191" spans="6:8" x14ac:dyDescent="0.25">
      <c r="F191"/>
      <c r="G191"/>
      <c r="H191"/>
    </row>
    <row r="192" spans="6:8" x14ac:dyDescent="0.25">
      <c r="F192"/>
      <c r="G192"/>
      <c r="H192"/>
    </row>
    <row r="193" spans="6:8" x14ac:dyDescent="0.25">
      <c r="F193"/>
      <c r="G193"/>
      <c r="H193"/>
    </row>
    <row r="194" spans="6:8" x14ac:dyDescent="0.25">
      <c r="F194"/>
      <c r="G194"/>
      <c r="H194"/>
    </row>
    <row r="195" spans="6:8" x14ac:dyDescent="0.25">
      <c r="F195"/>
      <c r="G195"/>
      <c r="H195"/>
    </row>
    <row r="196" spans="6:8" x14ac:dyDescent="0.25">
      <c r="F196"/>
      <c r="G196"/>
      <c r="H196"/>
    </row>
    <row r="197" spans="6:8" x14ac:dyDescent="0.25">
      <c r="F197"/>
      <c r="G197"/>
      <c r="H197"/>
    </row>
    <row r="198" spans="6:8" x14ac:dyDescent="0.25">
      <c r="F198"/>
      <c r="G198"/>
      <c r="H198"/>
    </row>
    <row r="199" spans="6:8" x14ac:dyDescent="0.25">
      <c r="F199"/>
      <c r="G199"/>
      <c r="H199"/>
    </row>
    <row r="200" spans="6:8" x14ac:dyDescent="0.25">
      <c r="F200"/>
      <c r="G200"/>
      <c r="H200"/>
    </row>
    <row r="201" spans="6:8" x14ac:dyDescent="0.25">
      <c r="F201"/>
      <c r="G201"/>
      <c r="H201"/>
    </row>
    <row r="202" spans="6:8" x14ac:dyDescent="0.25">
      <c r="F202"/>
      <c r="G202"/>
      <c r="H202"/>
    </row>
    <row r="203" spans="6:8" x14ac:dyDescent="0.25">
      <c r="F203"/>
      <c r="G203"/>
      <c r="H203"/>
    </row>
    <row r="204" spans="6:8" x14ac:dyDescent="0.25">
      <c r="F204"/>
      <c r="G204"/>
      <c r="H204"/>
    </row>
    <row r="205" spans="6:8" x14ac:dyDescent="0.25">
      <c r="F205"/>
      <c r="G205"/>
      <c r="H205"/>
    </row>
    <row r="206" spans="6:8" x14ac:dyDescent="0.25">
      <c r="F206"/>
      <c r="G206"/>
      <c r="H206"/>
    </row>
    <row r="207" spans="6:8" x14ac:dyDescent="0.25">
      <c r="F207"/>
      <c r="G207"/>
      <c r="H207"/>
    </row>
    <row r="208" spans="6:8" x14ac:dyDescent="0.25">
      <c r="F208"/>
      <c r="G208"/>
      <c r="H208"/>
    </row>
    <row r="209" spans="6:8" x14ac:dyDescent="0.25">
      <c r="F209"/>
      <c r="G209"/>
      <c r="H209"/>
    </row>
    <row r="210" spans="6:8" x14ac:dyDescent="0.25">
      <c r="F210"/>
      <c r="G210"/>
      <c r="H210"/>
    </row>
    <row r="211" spans="6:8" x14ac:dyDescent="0.25">
      <c r="F211"/>
      <c r="G211"/>
      <c r="H211"/>
    </row>
    <row r="212" spans="6:8" x14ac:dyDescent="0.25">
      <c r="F212"/>
      <c r="G212"/>
      <c r="H212"/>
    </row>
    <row r="213" spans="6:8" x14ac:dyDescent="0.25">
      <c r="F213"/>
      <c r="G213"/>
      <c r="H213"/>
    </row>
    <row r="214" spans="6:8" x14ac:dyDescent="0.25">
      <c r="F214"/>
      <c r="G214"/>
      <c r="H214"/>
    </row>
    <row r="215" spans="6:8" x14ac:dyDescent="0.25">
      <c r="F215"/>
      <c r="G215"/>
      <c r="H215"/>
    </row>
    <row r="216" spans="6:8" x14ac:dyDescent="0.25">
      <c r="F216"/>
      <c r="G216"/>
      <c r="H216"/>
    </row>
    <row r="217" spans="6:8" x14ac:dyDescent="0.25">
      <c r="F217"/>
      <c r="G217"/>
      <c r="H217"/>
    </row>
    <row r="218" spans="6:8" x14ac:dyDescent="0.25">
      <c r="F218"/>
      <c r="G218"/>
      <c r="H218"/>
    </row>
    <row r="219" spans="6:8" x14ac:dyDescent="0.25">
      <c r="F219"/>
      <c r="G219"/>
      <c r="H219"/>
    </row>
    <row r="220" spans="6:8" x14ac:dyDescent="0.25">
      <c r="F220"/>
      <c r="G220"/>
      <c r="H220"/>
    </row>
    <row r="221" spans="6:8" x14ac:dyDescent="0.25">
      <c r="F221"/>
      <c r="G221"/>
      <c r="H221"/>
    </row>
    <row r="222" spans="6:8" x14ac:dyDescent="0.25">
      <c r="F222"/>
      <c r="G222"/>
      <c r="H222"/>
    </row>
    <row r="223" spans="6:8" x14ac:dyDescent="0.25">
      <c r="F223"/>
      <c r="G223"/>
      <c r="H223"/>
    </row>
    <row r="224" spans="6:8" x14ac:dyDescent="0.25">
      <c r="F224"/>
      <c r="G224"/>
      <c r="H224"/>
    </row>
    <row r="225" spans="6:8" x14ac:dyDescent="0.25">
      <c r="F225"/>
      <c r="G225"/>
      <c r="H225"/>
    </row>
    <row r="226" spans="6:8" x14ac:dyDescent="0.25">
      <c r="F226"/>
      <c r="G226"/>
      <c r="H226"/>
    </row>
    <row r="227" spans="6:8" x14ac:dyDescent="0.25">
      <c r="F227"/>
      <c r="G227"/>
      <c r="H227"/>
    </row>
    <row r="228" spans="6:8" x14ac:dyDescent="0.25">
      <c r="F228"/>
      <c r="G228"/>
      <c r="H228"/>
    </row>
    <row r="229" spans="6:8" x14ac:dyDescent="0.25">
      <c r="G229"/>
      <c r="H229"/>
    </row>
  </sheetData>
  <mergeCells count="3">
    <mergeCell ref="B1:G1"/>
    <mergeCell ref="B63:C63"/>
    <mergeCell ref="B64:C64"/>
  </mergeCells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E2441-9725-477F-9A45-FAC345FA532D}">
  <dimension ref="A1:L231"/>
  <sheetViews>
    <sheetView topLeftCell="A30" workbookViewId="0">
      <selection activeCell="L58" sqref="L58"/>
    </sheetView>
  </sheetViews>
  <sheetFormatPr defaultColWidth="9.140625" defaultRowHeight="15" x14ac:dyDescent="0.25"/>
  <cols>
    <col min="1" max="1" width="29.5703125" style="45" customWidth="1"/>
    <col min="2" max="2" width="45.28515625" style="45" customWidth="1"/>
    <col min="3" max="3" width="29.7109375" style="45" customWidth="1"/>
    <col min="4" max="4" width="21.42578125" style="45" customWidth="1"/>
    <col min="5" max="5" width="17.42578125" style="45" customWidth="1"/>
    <col min="6" max="6" width="16.42578125" style="45" customWidth="1"/>
    <col min="7" max="7" width="17.140625" style="45" customWidth="1"/>
    <col min="8" max="8" width="16.85546875" style="45" bestFit="1" customWidth="1"/>
    <col min="9" max="16384" width="9.140625" style="45"/>
  </cols>
  <sheetData>
    <row r="1" spans="1:8" customFormat="1" ht="21.75" customHeight="1" x14ac:dyDescent="0.25">
      <c r="A1" s="46"/>
      <c r="B1" s="112" t="s">
        <v>0</v>
      </c>
      <c r="C1" s="113"/>
      <c r="D1" s="113"/>
      <c r="E1" s="113"/>
      <c r="F1" s="113"/>
      <c r="G1" s="114"/>
      <c r="H1" s="47"/>
    </row>
    <row r="2" spans="1:8" customFormat="1" ht="30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3"/>
      <c r="F2" s="4" t="s">
        <v>5</v>
      </c>
      <c r="G2" s="5"/>
      <c r="H2" s="6"/>
    </row>
    <row r="3" spans="1:8" customFormat="1" ht="30.6" customHeight="1" x14ac:dyDescent="0.25">
      <c r="A3" s="7">
        <v>1</v>
      </c>
      <c r="B3" s="8" t="s">
        <v>6</v>
      </c>
      <c r="C3" s="8"/>
      <c r="D3" s="9">
        <v>45689</v>
      </c>
      <c r="E3" s="9"/>
      <c r="F3" s="10">
        <f>532.69+550</f>
        <v>1082.69</v>
      </c>
      <c r="G3" s="5"/>
      <c r="H3" s="6"/>
    </row>
    <row r="4" spans="1:8" customFormat="1" ht="30.6" customHeight="1" x14ac:dyDescent="0.25">
      <c r="A4" s="7">
        <v>2</v>
      </c>
      <c r="B4" s="8" t="s">
        <v>8</v>
      </c>
      <c r="C4" s="8" t="s">
        <v>9</v>
      </c>
      <c r="D4" s="9">
        <v>45689</v>
      </c>
      <c r="E4" s="9"/>
      <c r="F4" s="10">
        <v>39590</v>
      </c>
      <c r="G4" s="5"/>
      <c r="H4" s="11"/>
    </row>
    <row r="5" spans="1:8" customFormat="1" ht="30.6" customHeight="1" x14ac:dyDescent="0.25">
      <c r="A5" s="7">
        <v>3</v>
      </c>
      <c r="B5" s="8" t="s">
        <v>10</v>
      </c>
      <c r="C5" s="12" t="s">
        <v>11</v>
      </c>
      <c r="D5" s="9">
        <v>45689</v>
      </c>
      <c r="E5" s="9"/>
      <c r="F5" s="10">
        <f>38676.1+7.01</f>
        <v>38683.11</v>
      </c>
      <c r="G5" s="5"/>
      <c r="H5" s="11"/>
    </row>
    <row r="6" spans="1:8" customFormat="1" ht="30.6" customHeight="1" x14ac:dyDescent="0.25">
      <c r="A6" s="7">
        <v>4</v>
      </c>
      <c r="B6" s="8" t="s">
        <v>12</v>
      </c>
      <c r="C6" s="8"/>
      <c r="D6" s="9">
        <v>45689</v>
      </c>
      <c r="E6" s="9"/>
      <c r="F6" s="10">
        <v>365.13</v>
      </c>
      <c r="G6" s="5"/>
      <c r="H6" s="11"/>
    </row>
    <row r="7" spans="1:8" customFormat="1" ht="30.6" customHeight="1" x14ac:dyDescent="0.25">
      <c r="A7" s="7">
        <v>5</v>
      </c>
      <c r="B7" s="8" t="s">
        <v>13</v>
      </c>
      <c r="C7" s="8" t="s">
        <v>14</v>
      </c>
      <c r="D7" s="9">
        <v>45689</v>
      </c>
      <c r="E7" s="9"/>
      <c r="F7" s="13">
        <v>1518</v>
      </c>
      <c r="G7" s="5"/>
      <c r="H7" s="6"/>
    </row>
    <row r="8" spans="1:8" customFormat="1" ht="30.6" customHeight="1" x14ac:dyDescent="0.25">
      <c r="A8" s="7">
        <v>6</v>
      </c>
      <c r="B8" s="8" t="s">
        <v>15</v>
      </c>
      <c r="C8" s="8" t="s">
        <v>16</v>
      </c>
      <c r="D8" s="9">
        <v>45689</v>
      </c>
      <c r="E8" s="9"/>
      <c r="F8" s="13">
        <v>2500</v>
      </c>
      <c r="G8" s="5"/>
      <c r="H8" s="6"/>
    </row>
    <row r="9" spans="1:8" customFormat="1" ht="30.6" customHeight="1" x14ac:dyDescent="0.25">
      <c r="A9" s="7">
        <v>7</v>
      </c>
      <c r="B9" s="14" t="s">
        <v>17</v>
      </c>
      <c r="C9" s="12" t="s">
        <v>18</v>
      </c>
      <c r="D9" s="9">
        <v>45689</v>
      </c>
      <c r="E9" s="9"/>
      <c r="F9" s="13">
        <v>880</v>
      </c>
      <c r="G9" s="5"/>
      <c r="H9" s="6"/>
    </row>
    <row r="10" spans="1:8" customFormat="1" ht="34.5" customHeight="1" x14ac:dyDescent="0.25">
      <c r="A10" s="7">
        <v>8</v>
      </c>
      <c r="B10" s="14" t="s">
        <v>19</v>
      </c>
      <c r="C10" s="14" t="s">
        <v>20</v>
      </c>
      <c r="D10" s="9">
        <v>45689</v>
      </c>
      <c r="E10" s="9"/>
      <c r="F10" s="13">
        <v>60.83</v>
      </c>
      <c r="G10" s="5"/>
      <c r="H10" s="6"/>
    </row>
    <row r="11" spans="1:8" customFormat="1" ht="30.6" customHeight="1" x14ac:dyDescent="0.25">
      <c r="A11" s="7">
        <v>9</v>
      </c>
      <c r="B11" s="14" t="s">
        <v>149</v>
      </c>
      <c r="C11" s="14" t="s">
        <v>150</v>
      </c>
      <c r="D11" s="9">
        <v>45689</v>
      </c>
      <c r="E11" s="9"/>
      <c r="F11" s="13">
        <v>149.9</v>
      </c>
      <c r="G11" s="5"/>
      <c r="H11" s="6"/>
    </row>
    <row r="12" spans="1:8" customFormat="1" ht="30.6" customHeight="1" x14ac:dyDescent="0.25">
      <c r="A12" s="7">
        <v>10</v>
      </c>
      <c r="B12" s="14" t="s">
        <v>21</v>
      </c>
      <c r="C12" s="12" t="s">
        <v>22</v>
      </c>
      <c r="D12" s="9">
        <v>45689</v>
      </c>
      <c r="E12" s="9"/>
      <c r="F12" s="13">
        <v>385</v>
      </c>
      <c r="G12" s="5"/>
      <c r="H12" s="15"/>
    </row>
    <row r="13" spans="1:8" customFormat="1" ht="30.6" customHeight="1" x14ac:dyDescent="0.25">
      <c r="A13" s="7">
        <v>11</v>
      </c>
      <c r="B13" s="14" t="s">
        <v>23</v>
      </c>
      <c r="C13" s="8"/>
      <c r="D13" s="9">
        <v>45689</v>
      </c>
      <c r="E13" s="9"/>
      <c r="F13" s="13">
        <v>70</v>
      </c>
      <c r="G13" s="5"/>
      <c r="H13" s="6"/>
    </row>
    <row r="14" spans="1:8" customFormat="1" ht="31.5" customHeight="1" x14ac:dyDescent="0.25">
      <c r="A14" s="7">
        <v>12</v>
      </c>
      <c r="B14" s="14" t="s">
        <v>24</v>
      </c>
      <c r="C14" s="12" t="s">
        <v>25</v>
      </c>
      <c r="D14" s="9">
        <v>45689</v>
      </c>
      <c r="E14" s="9"/>
      <c r="F14" s="13">
        <v>359</v>
      </c>
      <c r="G14" s="5"/>
      <c r="H14" s="6"/>
    </row>
    <row r="15" spans="1:8" customFormat="1" ht="31.5" customHeight="1" x14ac:dyDescent="0.25">
      <c r="A15" s="7">
        <v>13</v>
      </c>
      <c r="B15" s="14" t="s">
        <v>26</v>
      </c>
      <c r="C15" s="12" t="s">
        <v>151</v>
      </c>
      <c r="D15" s="9">
        <v>45689</v>
      </c>
      <c r="E15" s="9"/>
      <c r="F15" s="13">
        <v>33.799999999999997</v>
      </c>
      <c r="G15" s="5"/>
      <c r="H15" s="6"/>
    </row>
    <row r="16" spans="1:8" customFormat="1" ht="31.5" customHeight="1" x14ac:dyDescent="0.25">
      <c r="A16" s="7">
        <v>14</v>
      </c>
      <c r="B16" s="14" t="s">
        <v>29</v>
      </c>
      <c r="C16" s="12" t="s">
        <v>152</v>
      </c>
      <c r="D16" s="9">
        <v>45689</v>
      </c>
      <c r="E16" s="9"/>
      <c r="F16" s="13">
        <v>369.39</v>
      </c>
      <c r="G16" s="5"/>
      <c r="H16" s="6"/>
    </row>
    <row r="17" spans="1:12" customFormat="1" ht="42" customHeight="1" x14ac:dyDescent="0.25">
      <c r="A17" s="48"/>
      <c r="B17" s="49" t="s">
        <v>31</v>
      </c>
      <c r="C17" s="50"/>
      <c r="D17" s="51"/>
      <c r="E17" s="52"/>
      <c r="F17" s="53">
        <f>SUM(F3:F16)</f>
        <v>86046.85</v>
      </c>
      <c r="G17" s="54"/>
      <c r="H17" s="55"/>
    </row>
    <row r="18" spans="1:12" customFormat="1" ht="21.75" customHeight="1" x14ac:dyDescent="0.25">
      <c r="A18" s="16" t="s">
        <v>32</v>
      </c>
      <c r="B18" s="17" t="s">
        <v>33</v>
      </c>
      <c r="C18" s="18" t="s">
        <v>34</v>
      </c>
      <c r="D18" s="16" t="s">
        <v>35</v>
      </c>
      <c r="E18" s="16" t="s">
        <v>36</v>
      </c>
      <c r="F18" s="16" t="s">
        <v>37</v>
      </c>
      <c r="G18" s="19" t="s">
        <v>38</v>
      </c>
      <c r="H18" s="18" t="s">
        <v>39</v>
      </c>
    </row>
    <row r="19" spans="1:12" s="27" customFormat="1" ht="15" customHeight="1" x14ac:dyDescent="0.25">
      <c r="A19" s="20" t="s">
        <v>40</v>
      </c>
      <c r="B19" s="21" t="s">
        <v>41</v>
      </c>
      <c r="C19" s="22" t="s">
        <v>42</v>
      </c>
      <c r="D19" s="23">
        <v>4016</v>
      </c>
      <c r="E19" s="24">
        <f>D19/$D$62</f>
        <v>1.2610517083325563E-2</v>
      </c>
      <c r="F19" s="25">
        <f>$F$17*E19</f>
        <v>1085.0952718913522</v>
      </c>
      <c r="G19" s="26">
        <f>F19*5%</f>
        <v>54.254763594567613</v>
      </c>
      <c r="H19" s="26">
        <f t="shared" ref="H19:H61" si="0">F19+G19</f>
        <v>1139.3500354859198</v>
      </c>
    </row>
    <row r="20" spans="1:12" customFormat="1" x14ac:dyDescent="0.25">
      <c r="A20" s="20" t="s">
        <v>43</v>
      </c>
      <c r="B20" s="28" t="s">
        <v>44</v>
      </c>
      <c r="C20" s="22">
        <v>18778225000139</v>
      </c>
      <c r="D20" s="23">
        <v>8711.2199999999993</v>
      </c>
      <c r="E20" s="24">
        <f t="shared" ref="E20:E61" si="1">D20/$D$62</f>
        <v>2.7353831829334489E-2</v>
      </c>
      <c r="F20" s="25">
        <f t="shared" ref="F20:F61" si="2">$F$17*E20</f>
        <v>2353.7110643439705</v>
      </c>
      <c r="G20" s="26">
        <f t="shared" ref="G20:G61" si="3">F20*5%</f>
        <v>117.68555321719853</v>
      </c>
      <c r="H20" s="26">
        <f t="shared" si="0"/>
        <v>2471.396617561169</v>
      </c>
    </row>
    <row r="21" spans="1:12" customFormat="1" x14ac:dyDescent="0.25">
      <c r="A21" s="20" t="s">
        <v>45</v>
      </c>
      <c r="B21" s="28" t="s">
        <v>46</v>
      </c>
      <c r="C21" s="22">
        <v>41993875000119</v>
      </c>
      <c r="D21" s="23">
        <v>3641.8</v>
      </c>
      <c r="E21" s="24">
        <f t="shared" si="1"/>
        <v>1.1435503265451952E-2</v>
      </c>
      <c r="F21" s="25">
        <f t="shared" si="2"/>
        <v>983.98903415685436</v>
      </c>
      <c r="G21" s="26">
        <f t="shared" si="3"/>
        <v>49.199451707842719</v>
      </c>
      <c r="H21" s="26">
        <f t="shared" si="0"/>
        <v>1033.188485864697</v>
      </c>
    </row>
    <row r="22" spans="1:12" customFormat="1" x14ac:dyDescent="0.25">
      <c r="A22" s="20" t="s">
        <v>47</v>
      </c>
      <c r="B22" s="21" t="s">
        <v>48</v>
      </c>
      <c r="C22" s="22">
        <v>24781302000102</v>
      </c>
      <c r="D22" s="23">
        <v>3430</v>
      </c>
      <c r="E22" s="24">
        <f t="shared" si="1"/>
        <v>1.0770436652342301E-2</v>
      </c>
      <c r="F22" s="25">
        <f t="shared" si="2"/>
        <v>926.76214705860025</v>
      </c>
      <c r="G22" s="26">
        <f t="shared" si="3"/>
        <v>46.338107352930017</v>
      </c>
      <c r="H22" s="26">
        <f t="shared" si="0"/>
        <v>973.10025441153027</v>
      </c>
    </row>
    <row r="23" spans="1:12" customFormat="1" x14ac:dyDescent="0.25">
      <c r="A23" s="20" t="s">
        <v>49</v>
      </c>
      <c r="B23" s="21" t="s">
        <v>50</v>
      </c>
      <c r="C23" s="22">
        <v>38649716000197</v>
      </c>
      <c r="D23" s="23">
        <v>3440</v>
      </c>
      <c r="E23" s="24">
        <f t="shared" si="1"/>
        <v>1.0801837342290821E-2</v>
      </c>
      <c r="F23" s="25">
        <f t="shared" si="2"/>
        <v>929.46407751649701</v>
      </c>
      <c r="G23" s="26">
        <f t="shared" si="3"/>
        <v>46.473203875824851</v>
      </c>
      <c r="H23" s="26">
        <f t="shared" si="0"/>
        <v>975.93728139232189</v>
      </c>
    </row>
    <row r="24" spans="1:12" customFormat="1" x14ac:dyDescent="0.25">
      <c r="A24" s="20" t="s">
        <v>51</v>
      </c>
      <c r="B24" s="21" t="s">
        <v>52</v>
      </c>
      <c r="C24" s="22" t="s">
        <v>53</v>
      </c>
      <c r="D24" s="23">
        <v>4056</v>
      </c>
      <c r="E24" s="24">
        <f t="shared" si="1"/>
        <v>1.2736119843119642E-2</v>
      </c>
      <c r="F24" s="25">
        <f t="shared" si="2"/>
        <v>1095.9029937229395</v>
      </c>
      <c r="G24" s="26">
        <f t="shared" si="3"/>
        <v>54.795149686146978</v>
      </c>
      <c r="H24" s="26">
        <f t="shared" si="0"/>
        <v>1150.6981434090865</v>
      </c>
    </row>
    <row r="25" spans="1:12" customFormat="1" x14ac:dyDescent="0.25">
      <c r="A25" s="20" t="s">
        <v>54</v>
      </c>
      <c r="B25" s="21" t="s">
        <v>55</v>
      </c>
      <c r="C25" s="22" t="s">
        <v>56</v>
      </c>
      <c r="D25" s="23">
        <v>11580</v>
      </c>
      <c r="E25" s="24">
        <f t="shared" si="1"/>
        <v>3.6361998960385958E-2</v>
      </c>
      <c r="F25" s="25">
        <f t="shared" si="2"/>
        <v>3128.8354702444867</v>
      </c>
      <c r="G25" s="26">
        <f t="shared" si="3"/>
        <v>156.44177351222436</v>
      </c>
      <c r="H25" s="26">
        <f t="shared" si="0"/>
        <v>3285.277243756711</v>
      </c>
    </row>
    <row r="26" spans="1:12" customFormat="1" x14ac:dyDescent="0.25">
      <c r="A26" s="20" t="s">
        <v>57</v>
      </c>
      <c r="B26" s="21" t="s">
        <v>58</v>
      </c>
      <c r="C26" s="22" t="s">
        <v>59</v>
      </c>
      <c r="D26" s="23">
        <f>360+360+1510</f>
        <v>2230</v>
      </c>
      <c r="E26" s="24">
        <f t="shared" si="1"/>
        <v>7.002353858519922E-3</v>
      </c>
      <c r="F26" s="25">
        <f t="shared" si="2"/>
        <v>602.53049211098505</v>
      </c>
      <c r="G26" s="26">
        <f t="shared" si="3"/>
        <v>30.126524605549253</v>
      </c>
      <c r="H26" s="26">
        <f t="shared" si="0"/>
        <v>632.65701671653426</v>
      </c>
    </row>
    <row r="27" spans="1:12" s="33" customFormat="1" ht="15.75" customHeight="1" x14ac:dyDescent="0.25">
      <c r="A27" s="20" t="s">
        <v>60</v>
      </c>
      <c r="B27" s="29" t="s">
        <v>61</v>
      </c>
      <c r="C27" s="30" t="s">
        <v>62</v>
      </c>
      <c r="D27" s="23">
        <f>5224+3930</f>
        <v>9154</v>
      </c>
      <c r="E27" s="24">
        <f t="shared" si="1"/>
        <v>2.8744191578875051E-2</v>
      </c>
      <c r="F27" s="25">
        <f t="shared" si="2"/>
        <v>2473.3471411587248</v>
      </c>
      <c r="G27" s="26">
        <f t="shared" si="3"/>
        <v>123.66735705793624</v>
      </c>
      <c r="H27" s="31">
        <f t="shared" si="0"/>
        <v>2597.0144982166612</v>
      </c>
      <c r="I27" s="32" t="s">
        <v>63</v>
      </c>
      <c r="L27" s="33" t="s">
        <v>64</v>
      </c>
    </row>
    <row r="28" spans="1:12" customFormat="1" ht="15.75" customHeight="1" x14ac:dyDescent="0.25">
      <c r="A28" s="20" t="s">
        <v>65</v>
      </c>
      <c r="B28" s="28" t="s">
        <v>66</v>
      </c>
      <c r="C28" s="22" t="s">
        <v>67</v>
      </c>
      <c r="D28" s="23">
        <v>2610</v>
      </c>
      <c r="E28" s="24">
        <f t="shared" si="1"/>
        <v>8.1955800765636747E-3</v>
      </c>
      <c r="F28" s="25">
        <f t="shared" si="2"/>
        <v>705.20384951106303</v>
      </c>
      <c r="G28" s="26">
        <f t="shared" si="3"/>
        <v>35.260192475553154</v>
      </c>
      <c r="H28" s="26">
        <f t="shared" si="0"/>
        <v>740.46404198661617</v>
      </c>
    </row>
    <row r="29" spans="1:12" customFormat="1" ht="15.75" customHeight="1" x14ac:dyDescent="0.25">
      <c r="A29" s="20" t="s">
        <v>68</v>
      </c>
      <c r="B29" s="28" t="s">
        <v>69</v>
      </c>
      <c r="C29" s="22" t="s">
        <v>70</v>
      </c>
      <c r="D29" s="23">
        <v>5515</v>
      </c>
      <c r="E29" s="24">
        <f t="shared" si="1"/>
        <v>1.7317480506608685E-2</v>
      </c>
      <c r="F29" s="25">
        <f t="shared" si="2"/>
        <v>1490.1146475300816</v>
      </c>
      <c r="G29" s="26">
        <f t="shared" si="3"/>
        <v>74.505732376504085</v>
      </c>
      <c r="H29" s="26">
        <f t="shared" si="0"/>
        <v>1564.6203799065856</v>
      </c>
    </row>
    <row r="30" spans="1:12" customFormat="1" ht="15.75" customHeight="1" x14ac:dyDescent="0.25">
      <c r="A30" s="20" t="s">
        <v>71</v>
      </c>
      <c r="B30" s="21" t="s">
        <v>72</v>
      </c>
      <c r="C30" s="22">
        <v>17202383000183</v>
      </c>
      <c r="D30" s="23">
        <v>15332</v>
      </c>
      <c r="E30" s="24">
        <f t="shared" si="1"/>
        <v>4.8143537829070597E-2</v>
      </c>
      <c r="F30" s="25">
        <f t="shared" si="2"/>
        <v>4142.5997780473635</v>
      </c>
      <c r="G30" s="26">
        <f t="shared" si="3"/>
        <v>207.12998890236818</v>
      </c>
      <c r="H30" s="26">
        <f t="shared" si="0"/>
        <v>4349.729766949732</v>
      </c>
    </row>
    <row r="31" spans="1:12" customFormat="1" ht="15.75" customHeight="1" x14ac:dyDescent="0.25">
      <c r="A31" s="20" t="s">
        <v>73</v>
      </c>
      <c r="B31" s="21" t="s">
        <v>74</v>
      </c>
      <c r="C31" s="22">
        <v>18183488000103</v>
      </c>
      <c r="D31" s="23">
        <v>7238</v>
      </c>
      <c r="E31" s="24">
        <f t="shared" si="1"/>
        <v>2.272781938473865E-2</v>
      </c>
      <c r="F31" s="25">
        <f t="shared" si="2"/>
        <v>1955.6572654256991</v>
      </c>
      <c r="G31" s="26">
        <f t="shared" si="3"/>
        <v>97.782863271284953</v>
      </c>
      <c r="H31" s="26">
        <f t="shared" si="0"/>
        <v>2053.4401286969842</v>
      </c>
    </row>
    <row r="32" spans="1:12" customFormat="1" x14ac:dyDescent="0.25">
      <c r="A32" s="20" t="s">
        <v>75</v>
      </c>
      <c r="B32" s="21" t="s">
        <v>76</v>
      </c>
      <c r="C32" s="22">
        <v>18244070000150</v>
      </c>
      <c r="D32" s="23">
        <v>5941</v>
      </c>
      <c r="E32" s="24">
        <f t="shared" si="1"/>
        <v>1.8655149898415629E-2</v>
      </c>
      <c r="F32" s="25">
        <f t="shared" si="2"/>
        <v>1605.2168850364851</v>
      </c>
      <c r="G32" s="26">
        <f t="shared" si="3"/>
        <v>80.260844251824267</v>
      </c>
      <c r="H32" s="26">
        <f t="shared" si="0"/>
        <v>1685.4777292883093</v>
      </c>
    </row>
    <row r="33" spans="1:12" customFormat="1" x14ac:dyDescent="0.25">
      <c r="A33" s="20" t="s">
        <v>77</v>
      </c>
      <c r="B33" s="21" t="s">
        <v>78</v>
      </c>
      <c r="C33" s="22">
        <v>18244039000110</v>
      </c>
      <c r="D33" s="23">
        <v>4460</v>
      </c>
      <c r="E33" s="24">
        <f t="shared" si="1"/>
        <v>1.4004707717039844E-2</v>
      </c>
      <c r="F33" s="25">
        <f t="shared" si="2"/>
        <v>1205.0609842219701</v>
      </c>
      <c r="G33" s="26">
        <f t="shared" si="3"/>
        <v>60.253049211098507</v>
      </c>
      <c r="H33" s="26">
        <f t="shared" si="0"/>
        <v>1265.3140334330685</v>
      </c>
    </row>
    <row r="34" spans="1:12" customFormat="1" x14ac:dyDescent="0.25">
      <c r="A34" s="20" t="s">
        <v>79</v>
      </c>
      <c r="B34" s="66" t="s">
        <v>153</v>
      </c>
      <c r="C34" s="67" t="s">
        <v>154</v>
      </c>
      <c r="D34" s="23">
        <v>4415</v>
      </c>
      <c r="E34" s="24">
        <f t="shared" si="1"/>
        <v>1.3863404612271504E-2</v>
      </c>
      <c r="F34" s="25">
        <f t="shared" si="2"/>
        <v>1192.9022971614343</v>
      </c>
      <c r="G34" s="26">
        <f t="shared" si="3"/>
        <v>59.645114858071715</v>
      </c>
      <c r="H34" s="26">
        <f t="shared" si="0"/>
        <v>1252.5474120195061</v>
      </c>
    </row>
    <row r="35" spans="1:12" customFormat="1" x14ac:dyDescent="0.25">
      <c r="A35" s="20" t="s">
        <v>81</v>
      </c>
      <c r="B35" s="21" t="s">
        <v>82</v>
      </c>
      <c r="C35" s="22" t="s">
        <v>83</v>
      </c>
      <c r="D35" s="23">
        <v>8673</v>
      </c>
      <c r="E35" s="24">
        <f t="shared" si="1"/>
        <v>2.7233818392351245E-2</v>
      </c>
      <c r="F35" s="25">
        <f t="shared" si="2"/>
        <v>2343.384286133889</v>
      </c>
      <c r="G35" s="26">
        <f t="shared" si="3"/>
        <v>117.16921430669446</v>
      </c>
      <c r="H35" s="26">
        <f t="shared" si="0"/>
        <v>2460.5535004405833</v>
      </c>
    </row>
    <row r="36" spans="1:12" customFormat="1" x14ac:dyDescent="0.25">
      <c r="A36" s="20" t="s">
        <v>84</v>
      </c>
      <c r="B36" s="21" t="s">
        <v>85</v>
      </c>
      <c r="C36" s="22" t="s">
        <v>86</v>
      </c>
      <c r="D36" s="23">
        <v>9239</v>
      </c>
      <c r="E36" s="24">
        <f t="shared" si="1"/>
        <v>2.901109744343747E-2</v>
      </c>
      <c r="F36" s="25">
        <f t="shared" si="2"/>
        <v>2496.3135500508479</v>
      </c>
      <c r="G36" s="26">
        <f t="shared" si="3"/>
        <v>124.8156775025424</v>
      </c>
      <c r="H36" s="26">
        <f t="shared" si="0"/>
        <v>2621.1292275533901</v>
      </c>
    </row>
    <row r="37" spans="1:12" customFormat="1" x14ac:dyDescent="0.25">
      <c r="A37" s="20" t="s">
        <v>87</v>
      </c>
      <c r="B37" s="21" t="s">
        <v>88</v>
      </c>
      <c r="C37" s="22" t="s">
        <v>89</v>
      </c>
      <c r="D37" s="23">
        <v>4892</v>
      </c>
      <c r="E37" s="24">
        <f t="shared" si="1"/>
        <v>1.53612175228159E-2</v>
      </c>
      <c r="F37" s="25">
        <f t="shared" si="2"/>
        <v>1321.7843800031114</v>
      </c>
      <c r="G37" s="26">
        <f t="shared" si="3"/>
        <v>66.08921900015558</v>
      </c>
      <c r="H37" s="26">
        <f t="shared" si="0"/>
        <v>1387.8735990032669</v>
      </c>
    </row>
    <row r="38" spans="1:12" customFormat="1" x14ac:dyDescent="0.25">
      <c r="A38" s="20" t="s">
        <v>90</v>
      </c>
      <c r="B38" s="21" t="s">
        <v>91</v>
      </c>
      <c r="C38" s="22">
        <v>41497649000147</v>
      </c>
      <c r="D38" s="23">
        <v>2526</v>
      </c>
      <c r="E38" s="24">
        <f t="shared" si="1"/>
        <v>7.9318142809961089E-3</v>
      </c>
      <c r="F38" s="25">
        <f t="shared" si="2"/>
        <v>682.50763366473006</v>
      </c>
      <c r="G38" s="26">
        <f t="shared" si="3"/>
        <v>34.125381683236505</v>
      </c>
      <c r="H38" s="26">
        <f t="shared" si="0"/>
        <v>716.63301534796653</v>
      </c>
    </row>
    <row r="39" spans="1:12" s="63" customFormat="1" x14ac:dyDescent="0.25">
      <c r="A39" s="56" t="s">
        <v>145</v>
      </c>
      <c r="B39" s="57" t="s">
        <v>146</v>
      </c>
      <c r="C39" s="58">
        <v>19209989000176</v>
      </c>
      <c r="D39" s="59">
        <v>15365.8</v>
      </c>
      <c r="E39" s="60">
        <f t="shared" si="1"/>
        <v>4.8249672161096595E-2</v>
      </c>
      <c r="F39" s="61">
        <f t="shared" si="2"/>
        <v>4151.7323029950549</v>
      </c>
      <c r="G39" s="62">
        <f t="shared" si="3"/>
        <v>207.58661514975276</v>
      </c>
      <c r="H39" s="62">
        <f>F39+G39</f>
        <v>4359.3189181448079</v>
      </c>
    </row>
    <row r="40" spans="1:12" customFormat="1" x14ac:dyDescent="0.25">
      <c r="A40" s="20" t="s">
        <v>92</v>
      </c>
      <c r="B40" s="21" t="s">
        <v>93</v>
      </c>
      <c r="C40" s="22">
        <v>40580071000125</v>
      </c>
      <c r="D40" s="23">
        <v>3600</v>
      </c>
      <c r="E40" s="24">
        <f t="shared" si="1"/>
        <v>1.1304248381467139E-2</v>
      </c>
      <c r="F40" s="25">
        <f t="shared" si="2"/>
        <v>972.69496484284571</v>
      </c>
      <c r="G40" s="26">
        <f t="shared" si="3"/>
        <v>48.634748242142287</v>
      </c>
      <c r="H40" s="26">
        <f t="shared" si="0"/>
        <v>1021.329713084988</v>
      </c>
      <c r="I40" s="32" t="s">
        <v>63</v>
      </c>
      <c r="L40" t="s">
        <v>94</v>
      </c>
    </row>
    <row r="41" spans="1:12" customFormat="1" x14ac:dyDescent="0.25">
      <c r="A41" s="20" t="s">
        <v>95</v>
      </c>
      <c r="B41" s="21" t="s">
        <v>96</v>
      </c>
      <c r="C41" s="22" t="s">
        <v>97</v>
      </c>
      <c r="D41" s="23">
        <v>3938</v>
      </c>
      <c r="E41" s="24">
        <f t="shared" si="1"/>
        <v>1.2365591701727109E-2</v>
      </c>
      <c r="F41" s="25">
        <f t="shared" si="2"/>
        <v>1064.0202143197573</v>
      </c>
      <c r="G41" s="26">
        <f t="shared" si="3"/>
        <v>53.20101071598787</v>
      </c>
      <c r="H41" s="26">
        <f t="shared" si="0"/>
        <v>1117.2212250357452</v>
      </c>
    </row>
    <row r="42" spans="1:12" customFormat="1" x14ac:dyDescent="0.25">
      <c r="A42" s="20" t="s">
        <v>98</v>
      </c>
      <c r="B42" s="21" t="s">
        <v>99</v>
      </c>
      <c r="C42" s="22">
        <v>18788190000119</v>
      </c>
      <c r="D42" s="23">
        <v>3707</v>
      </c>
      <c r="E42" s="24">
        <f t="shared" si="1"/>
        <v>1.1640235763916301E-2</v>
      </c>
      <c r="F42" s="25">
        <f t="shared" si="2"/>
        <v>1001.6056207423414</v>
      </c>
      <c r="G42" s="26">
        <f t="shared" si="3"/>
        <v>50.080281037117075</v>
      </c>
      <c r="H42" s="26">
        <f t="shared" si="0"/>
        <v>1051.6859017794586</v>
      </c>
    </row>
    <row r="43" spans="1:12" customFormat="1" x14ac:dyDescent="0.25">
      <c r="A43" s="20" t="s">
        <v>100</v>
      </c>
      <c r="B43" s="21" t="s">
        <v>101</v>
      </c>
      <c r="C43" s="22">
        <v>42109766000159</v>
      </c>
      <c r="D43" s="23">
        <v>5117</v>
      </c>
      <c r="E43" s="24">
        <f t="shared" si="1"/>
        <v>1.6067733046657595E-2</v>
      </c>
      <c r="F43" s="25">
        <f t="shared" si="2"/>
        <v>1382.5778153057893</v>
      </c>
      <c r="G43" s="26">
        <f t="shared" si="3"/>
        <v>69.128890765289469</v>
      </c>
      <c r="H43" s="26">
        <f t="shared" si="0"/>
        <v>1451.7067060710788</v>
      </c>
    </row>
    <row r="44" spans="1:12" customFormat="1" x14ac:dyDescent="0.25">
      <c r="A44" s="20" t="s">
        <v>102</v>
      </c>
      <c r="B44" s="21" t="s">
        <v>99</v>
      </c>
      <c r="C44" s="22">
        <v>18788190000119</v>
      </c>
      <c r="D44" s="23">
        <v>14717</v>
      </c>
      <c r="E44" s="24">
        <f t="shared" si="1"/>
        <v>4.6212395397236629E-2</v>
      </c>
      <c r="F44" s="25">
        <f t="shared" si="2"/>
        <v>3976.4310548867111</v>
      </c>
      <c r="G44" s="26">
        <f t="shared" si="3"/>
        <v>198.82155274433558</v>
      </c>
      <c r="H44" s="26">
        <f t="shared" si="0"/>
        <v>4175.2526076310469</v>
      </c>
    </row>
    <row r="45" spans="1:12" customFormat="1" ht="13.5" customHeight="1" x14ac:dyDescent="0.25">
      <c r="A45" s="20" t="s">
        <v>103</v>
      </c>
      <c r="B45" s="21" t="s">
        <v>104</v>
      </c>
      <c r="C45" s="22">
        <v>32302613000170</v>
      </c>
      <c r="D45" s="23">
        <v>5439</v>
      </c>
      <c r="E45" s="24">
        <f t="shared" si="1"/>
        <v>1.7078835262999935E-2</v>
      </c>
      <c r="F45" s="25">
        <f t="shared" si="2"/>
        <v>1469.5799760500661</v>
      </c>
      <c r="G45" s="26">
        <f t="shared" si="3"/>
        <v>73.478998802503313</v>
      </c>
      <c r="H45" s="26">
        <f t="shared" si="0"/>
        <v>1543.0589748525695</v>
      </c>
    </row>
    <row r="46" spans="1:12" customFormat="1" x14ac:dyDescent="0.25">
      <c r="A46" s="20" t="s">
        <v>105</v>
      </c>
      <c r="B46" s="21" t="s">
        <v>106</v>
      </c>
      <c r="C46" s="22">
        <v>28616552000148</v>
      </c>
      <c r="D46" s="23">
        <v>4123.71</v>
      </c>
      <c r="E46" s="24">
        <f t="shared" si="1"/>
        <v>1.2948733914761069E-2</v>
      </c>
      <c r="F46" s="25">
        <f t="shared" si="2"/>
        <v>1114.1977648533586</v>
      </c>
      <c r="G46" s="26">
        <f t="shared" si="3"/>
        <v>55.709888242667937</v>
      </c>
      <c r="H46" s="26">
        <f t="shared" si="0"/>
        <v>1169.9076530960265</v>
      </c>
    </row>
    <row r="47" spans="1:12" customFormat="1" x14ac:dyDescent="0.25">
      <c r="A47" s="20" t="s">
        <v>107</v>
      </c>
      <c r="B47" s="21" t="s">
        <v>108</v>
      </c>
      <c r="C47" s="22">
        <v>42579914000107</v>
      </c>
      <c r="D47" s="23">
        <v>4986.3599999999997</v>
      </c>
      <c r="E47" s="24">
        <f t="shared" si="1"/>
        <v>1.5657514433170133E-2</v>
      </c>
      <c r="F47" s="25">
        <f t="shared" si="2"/>
        <v>1347.2797958038254</v>
      </c>
      <c r="G47" s="26">
        <f t="shared" si="3"/>
        <v>67.363989790191269</v>
      </c>
      <c r="H47" s="26">
        <f t="shared" si="0"/>
        <v>1414.6437855940167</v>
      </c>
    </row>
    <row r="48" spans="1:12" customFormat="1" x14ac:dyDescent="0.25">
      <c r="A48" s="20" t="s">
        <v>109</v>
      </c>
      <c r="B48" s="21" t="s">
        <v>110</v>
      </c>
      <c r="C48" s="22" t="s">
        <v>111</v>
      </c>
      <c r="D48" s="23">
        <v>7462</v>
      </c>
      <c r="E48" s="24">
        <f t="shared" si="1"/>
        <v>2.3431194839585497E-2</v>
      </c>
      <c r="F48" s="25">
        <f t="shared" si="2"/>
        <v>2016.1805076825874</v>
      </c>
      <c r="G48" s="26">
        <f t="shared" si="3"/>
        <v>100.80902538412937</v>
      </c>
      <c r="H48" s="26">
        <f t="shared" si="0"/>
        <v>2116.9895330667168</v>
      </c>
    </row>
    <row r="49" spans="1:8" customFormat="1" x14ac:dyDescent="0.25">
      <c r="A49" s="20" t="s">
        <v>112</v>
      </c>
      <c r="B49" s="21" t="s">
        <v>113</v>
      </c>
      <c r="C49" s="22" t="s">
        <v>114</v>
      </c>
      <c r="D49" s="23">
        <v>5525</v>
      </c>
      <c r="E49" s="24">
        <f t="shared" si="1"/>
        <v>1.7348881196557205E-2</v>
      </c>
      <c r="F49" s="25">
        <f t="shared" si="2"/>
        <v>1492.8165779879785</v>
      </c>
      <c r="G49" s="26">
        <f t="shared" si="3"/>
        <v>74.640828899398926</v>
      </c>
      <c r="H49" s="26">
        <f t="shared" si="0"/>
        <v>1567.4574068873774</v>
      </c>
    </row>
    <row r="50" spans="1:8" customFormat="1" x14ac:dyDescent="0.25">
      <c r="A50" s="20" t="s">
        <v>115</v>
      </c>
      <c r="B50" s="21" t="s">
        <v>116</v>
      </c>
      <c r="C50" s="22">
        <v>26480299000112</v>
      </c>
      <c r="D50" s="23"/>
      <c r="E50" s="24">
        <f t="shared" si="1"/>
        <v>0</v>
      </c>
      <c r="F50" s="25">
        <f t="shared" si="2"/>
        <v>0</v>
      </c>
      <c r="G50" s="26">
        <f t="shared" si="3"/>
        <v>0</v>
      </c>
      <c r="H50" s="26">
        <f t="shared" si="0"/>
        <v>0</v>
      </c>
    </row>
    <row r="51" spans="1:8" customFormat="1" x14ac:dyDescent="0.25">
      <c r="A51" s="20" t="s">
        <v>117</v>
      </c>
      <c r="B51" s="21" t="s">
        <v>118</v>
      </c>
      <c r="C51" s="22" t="s">
        <v>119</v>
      </c>
      <c r="D51" s="23">
        <v>4943</v>
      </c>
      <c r="E51" s="24">
        <f t="shared" si="1"/>
        <v>1.552136104155335E-2</v>
      </c>
      <c r="F51" s="25">
        <f t="shared" si="2"/>
        <v>1335.5642253383851</v>
      </c>
      <c r="G51" s="26">
        <f t="shared" si="3"/>
        <v>66.778211266919257</v>
      </c>
      <c r="H51" s="26">
        <f t="shared" si="0"/>
        <v>1402.3424366053043</v>
      </c>
    </row>
    <row r="52" spans="1:8" customFormat="1" x14ac:dyDescent="0.25">
      <c r="A52" s="20" t="s">
        <v>120</v>
      </c>
      <c r="B52" s="21" t="s">
        <v>121</v>
      </c>
      <c r="C52" s="22">
        <v>12997366000166</v>
      </c>
      <c r="D52" s="23">
        <v>5160</v>
      </c>
      <c r="E52" s="24">
        <f t="shared" si="1"/>
        <v>1.620275601343623E-2</v>
      </c>
      <c r="F52" s="25">
        <f t="shared" si="2"/>
        <v>1394.1961162747455</v>
      </c>
      <c r="G52" s="26">
        <f t="shared" si="3"/>
        <v>69.709805813737276</v>
      </c>
      <c r="H52" s="26">
        <f t="shared" si="0"/>
        <v>1463.9059220884828</v>
      </c>
    </row>
    <row r="53" spans="1:8" customFormat="1" ht="16.5" customHeight="1" x14ac:dyDescent="0.25">
      <c r="A53" s="20" t="s">
        <v>122</v>
      </c>
      <c r="B53" s="21" t="s">
        <v>123</v>
      </c>
      <c r="C53" s="22" t="s">
        <v>124</v>
      </c>
      <c r="D53" s="23">
        <v>6586</v>
      </c>
      <c r="E53" s="24">
        <f t="shared" si="1"/>
        <v>2.0680494400095159E-2</v>
      </c>
      <c r="F53" s="25">
        <f t="shared" si="2"/>
        <v>1779.4913995708282</v>
      </c>
      <c r="G53" s="26">
        <f t="shared" si="3"/>
        <v>88.97456997854141</v>
      </c>
      <c r="H53" s="26">
        <f t="shared" si="0"/>
        <v>1868.4659695493697</v>
      </c>
    </row>
    <row r="54" spans="1:8" customFormat="1" x14ac:dyDescent="0.25">
      <c r="A54" s="20" t="s">
        <v>125</v>
      </c>
      <c r="B54" s="21" t="s">
        <v>126</v>
      </c>
      <c r="C54" s="22">
        <v>11884518000151</v>
      </c>
      <c r="D54" s="23">
        <v>5644</v>
      </c>
      <c r="E54" s="24">
        <f t="shared" si="1"/>
        <v>1.772254940694459E-2</v>
      </c>
      <c r="F54" s="25">
        <f t="shared" si="2"/>
        <v>1524.9695504369502</v>
      </c>
      <c r="G54" s="26">
        <f t="shared" si="3"/>
        <v>76.248477521847505</v>
      </c>
      <c r="H54" s="26">
        <f t="shared" si="0"/>
        <v>1601.2180279587976</v>
      </c>
    </row>
    <row r="55" spans="1:8" s="63" customFormat="1" x14ac:dyDescent="0.25">
      <c r="A55" s="56" t="s">
        <v>147</v>
      </c>
      <c r="B55" s="57" t="s">
        <v>148</v>
      </c>
      <c r="C55" s="58">
        <v>41142377000162</v>
      </c>
      <c r="D55" s="59">
        <v>1134.82</v>
      </c>
      <c r="E55" s="60">
        <f t="shared" si="1"/>
        <v>3.5634130967379268E-3</v>
      </c>
      <c r="F55" s="61">
        <f t="shared" si="2"/>
        <v>306.62047222304392</v>
      </c>
      <c r="G55" s="62">
        <f t="shared" si="3"/>
        <v>15.331023611152197</v>
      </c>
      <c r="H55" s="62">
        <f t="shared" si="0"/>
        <v>321.95149583419612</v>
      </c>
    </row>
    <row r="56" spans="1:8" customFormat="1" x14ac:dyDescent="0.25">
      <c r="A56" s="20" t="s">
        <v>127</v>
      </c>
      <c r="B56" s="21" t="s">
        <v>128</v>
      </c>
      <c r="C56" s="22">
        <v>36188051000136</v>
      </c>
      <c r="D56" s="23">
        <v>6936</v>
      </c>
      <c r="E56" s="24">
        <f t="shared" si="1"/>
        <v>2.1779518548293353E-2</v>
      </c>
      <c r="F56" s="25">
        <f t="shared" si="2"/>
        <v>1874.058965597216</v>
      </c>
      <c r="G56" s="26">
        <f t="shared" si="3"/>
        <v>93.702948279860806</v>
      </c>
      <c r="H56" s="26">
        <f t="shared" si="0"/>
        <v>1967.7619138770767</v>
      </c>
    </row>
    <row r="57" spans="1:8" customFormat="1" x14ac:dyDescent="0.25">
      <c r="A57" s="20" t="s">
        <v>129</v>
      </c>
      <c r="B57" s="21" t="s">
        <v>130</v>
      </c>
      <c r="C57" s="22" t="s">
        <v>131</v>
      </c>
      <c r="D57" s="23">
        <f>7425*40%</f>
        <v>2970</v>
      </c>
      <c r="E57" s="24">
        <f t="shared" si="1"/>
        <v>9.3260049147103896E-3</v>
      </c>
      <c r="F57" s="25">
        <f t="shared" si="2"/>
        <v>802.4733459953477</v>
      </c>
      <c r="G57" s="26">
        <f t="shared" si="3"/>
        <v>40.123667299767391</v>
      </c>
      <c r="H57" s="26">
        <f t="shared" si="0"/>
        <v>842.59701329511506</v>
      </c>
    </row>
    <row r="58" spans="1:8" customFormat="1" x14ac:dyDescent="0.25">
      <c r="A58" s="20" t="s">
        <v>132</v>
      </c>
      <c r="B58" s="21" t="s">
        <v>133</v>
      </c>
      <c r="C58" s="22">
        <v>18741082000190</v>
      </c>
      <c r="D58" s="23">
        <v>12183</v>
      </c>
      <c r="E58" s="24">
        <f t="shared" si="1"/>
        <v>3.825546056428171E-2</v>
      </c>
      <c r="F58" s="25">
        <f t="shared" si="2"/>
        <v>3291.761876855664</v>
      </c>
      <c r="G58" s="26">
        <f t="shared" si="3"/>
        <v>164.58809384278322</v>
      </c>
      <c r="H58" s="26">
        <f t="shared" si="0"/>
        <v>3456.3499706984471</v>
      </c>
    </row>
    <row r="59" spans="1:8" customFormat="1" x14ac:dyDescent="0.25">
      <c r="A59" s="20" t="s">
        <v>134</v>
      </c>
      <c r="B59" s="21" t="s">
        <v>135</v>
      </c>
      <c r="C59" s="22" t="s">
        <v>136</v>
      </c>
      <c r="D59" s="23">
        <v>4814</v>
      </c>
      <c r="E59" s="24">
        <f t="shared" si="1"/>
        <v>1.5116292141217446E-2</v>
      </c>
      <c r="F59" s="25">
        <f t="shared" si="2"/>
        <v>1300.7093224315165</v>
      </c>
      <c r="G59" s="26">
        <f t="shared" si="3"/>
        <v>65.035466121575823</v>
      </c>
      <c r="H59" s="26">
        <f t="shared" si="0"/>
        <v>1365.7447885530923</v>
      </c>
    </row>
    <row r="60" spans="1:8" customFormat="1" x14ac:dyDescent="0.25">
      <c r="A60" s="20" t="s">
        <v>137</v>
      </c>
      <c r="B60" s="21" t="s">
        <v>138</v>
      </c>
      <c r="C60" s="22" t="s">
        <v>139</v>
      </c>
      <c r="D60" s="23">
        <v>3476.86</v>
      </c>
      <c r="E60" s="24">
        <f t="shared" si="1"/>
        <v>1.0917580285441065E-2</v>
      </c>
      <c r="F60" s="25">
        <f t="shared" si="2"/>
        <v>939.42339318430447</v>
      </c>
      <c r="G60" s="26">
        <f t="shared" si="3"/>
        <v>46.971169659215228</v>
      </c>
      <c r="H60" s="26">
        <f t="shared" si="0"/>
        <v>986.39456284351968</v>
      </c>
    </row>
    <row r="61" spans="1:8" customFormat="1" x14ac:dyDescent="0.25">
      <c r="A61" s="20" t="s">
        <v>140</v>
      </c>
      <c r="B61" s="28" t="s">
        <v>141</v>
      </c>
      <c r="C61" s="22">
        <v>11884518000151</v>
      </c>
      <c r="D61" s="23">
        <f>81377.44-14717-3314-9239+11302+4126.33</f>
        <v>69535.77</v>
      </c>
      <c r="E61" s="24">
        <f t="shared" si="1"/>
        <v>0.21834711541015867</v>
      </c>
      <c r="F61" s="25">
        <f t="shared" si="2"/>
        <v>18788.081487630614</v>
      </c>
      <c r="G61" s="26">
        <f t="shared" si="3"/>
        <v>939.40407438153079</v>
      </c>
      <c r="H61" s="26">
        <f t="shared" si="0"/>
        <v>19727.485562012145</v>
      </c>
    </row>
    <row r="62" spans="1:8" customFormat="1" x14ac:dyDescent="0.25">
      <c r="A62" s="34"/>
      <c r="B62" s="35"/>
      <c r="C62" s="36" t="s">
        <v>142</v>
      </c>
      <c r="D62" s="37">
        <f>SUM(D19:D61)</f>
        <v>318464.33999999997</v>
      </c>
      <c r="E62" s="38">
        <f>SUM(E19:E61)</f>
        <v>1</v>
      </c>
      <c r="F62" s="39">
        <f>SUM(F19:F61)</f>
        <v>86046.85000000002</v>
      </c>
      <c r="G62" s="39">
        <f>SUM(G19:G61)</f>
        <v>4302.3424999999997</v>
      </c>
      <c r="H62" s="40">
        <f>SUM(H19:H61)</f>
        <v>90349.192500000005</v>
      </c>
    </row>
    <row r="63" spans="1:8" customFormat="1" x14ac:dyDescent="0.25">
      <c r="F63" s="41"/>
    </row>
    <row r="64" spans="1:8" customFormat="1" x14ac:dyDescent="0.25">
      <c r="F64" s="41"/>
    </row>
    <row r="65" spans="2:8" customFormat="1" x14ac:dyDescent="0.25">
      <c r="B65" s="115" t="s">
        <v>143</v>
      </c>
      <c r="C65" s="115"/>
      <c r="F65" s="41"/>
    </row>
    <row r="66" spans="2:8" customFormat="1" x14ac:dyDescent="0.25">
      <c r="B66" s="116" t="s">
        <v>144</v>
      </c>
      <c r="C66" s="117"/>
      <c r="E66" s="41"/>
      <c r="H66" s="42"/>
    </row>
    <row r="67" spans="2:8" customFormat="1" x14ac:dyDescent="0.25">
      <c r="E67" s="41"/>
      <c r="H67" s="43"/>
    </row>
    <row r="68" spans="2:8" customFormat="1" x14ac:dyDescent="0.25">
      <c r="D68" s="44"/>
      <c r="E68" s="41"/>
      <c r="H68" s="42"/>
    </row>
    <row r="69" spans="2:8" customFormat="1" x14ac:dyDescent="0.25">
      <c r="E69" s="41"/>
    </row>
    <row r="70" spans="2:8" customFormat="1" x14ac:dyDescent="0.25"/>
    <row r="71" spans="2:8" customFormat="1" x14ac:dyDescent="0.25"/>
    <row r="72" spans="2:8" customFormat="1" x14ac:dyDescent="0.25"/>
    <row r="73" spans="2:8" customFormat="1" x14ac:dyDescent="0.25"/>
    <row r="74" spans="2:8" customFormat="1" x14ac:dyDescent="0.25"/>
    <row r="75" spans="2:8" customFormat="1" x14ac:dyDescent="0.25"/>
    <row r="76" spans="2:8" customFormat="1" x14ac:dyDescent="0.25"/>
    <row r="77" spans="2:8" customFormat="1" x14ac:dyDescent="0.25"/>
    <row r="78" spans="2:8" customFormat="1" x14ac:dyDescent="0.25"/>
    <row r="79" spans="2:8" customFormat="1" x14ac:dyDescent="0.25"/>
    <row r="80" spans="2:8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spans="1:8" customFormat="1" x14ac:dyDescent="0.25"/>
    <row r="146" spans="1:8" customFormat="1" x14ac:dyDescent="0.25"/>
    <row r="147" spans="1:8" customFormat="1" x14ac:dyDescent="0.25"/>
    <row r="148" spans="1:8" customFormat="1" x14ac:dyDescent="0.25"/>
    <row r="149" spans="1:8" customFormat="1" x14ac:dyDescent="0.25">
      <c r="A149" s="45"/>
      <c r="B149" s="45"/>
      <c r="C149" s="45"/>
      <c r="D149" s="45"/>
      <c r="E149" s="45"/>
    </row>
    <row r="150" spans="1:8" x14ac:dyDescent="0.25">
      <c r="F150"/>
      <c r="G150"/>
      <c r="H150"/>
    </row>
    <row r="151" spans="1:8" x14ac:dyDescent="0.25">
      <c r="F151"/>
      <c r="G151"/>
      <c r="H151"/>
    </row>
    <row r="152" spans="1:8" x14ac:dyDescent="0.25">
      <c r="F152"/>
      <c r="G152"/>
      <c r="H152"/>
    </row>
    <row r="153" spans="1:8" x14ac:dyDescent="0.25">
      <c r="F153"/>
      <c r="G153"/>
      <c r="H153"/>
    </row>
    <row r="154" spans="1:8" x14ac:dyDescent="0.25">
      <c r="F154"/>
      <c r="G154"/>
      <c r="H154"/>
    </row>
    <row r="155" spans="1:8" x14ac:dyDescent="0.25">
      <c r="F155"/>
      <c r="G155"/>
      <c r="H155"/>
    </row>
    <row r="156" spans="1:8" x14ac:dyDescent="0.25">
      <c r="F156"/>
      <c r="G156"/>
      <c r="H156"/>
    </row>
    <row r="157" spans="1:8" x14ac:dyDescent="0.25">
      <c r="F157"/>
      <c r="G157"/>
      <c r="H157"/>
    </row>
    <row r="158" spans="1:8" x14ac:dyDescent="0.25">
      <c r="F158"/>
      <c r="G158"/>
      <c r="H158"/>
    </row>
    <row r="159" spans="1:8" x14ac:dyDescent="0.25">
      <c r="F159"/>
      <c r="G159"/>
      <c r="H159"/>
    </row>
    <row r="160" spans="1:8" x14ac:dyDescent="0.25">
      <c r="F160"/>
      <c r="G160"/>
      <c r="H160"/>
    </row>
    <row r="161" spans="6:8" x14ac:dyDescent="0.25">
      <c r="F161"/>
      <c r="G161"/>
      <c r="H161"/>
    </row>
    <row r="162" spans="6:8" x14ac:dyDescent="0.25">
      <c r="F162"/>
      <c r="G162"/>
      <c r="H162"/>
    </row>
    <row r="163" spans="6:8" x14ac:dyDescent="0.25">
      <c r="F163"/>
      <c r="G163"/>
      <c r="H163"/>
    </row>
    <row r="164" spans="6:8" x14ac:dyDescent="0.25">
      <c r="F164"/>
      <c r="G164"/>
      <c r="H164"/>
    </row>
    <row r="165" spans="6:8" x14ac:dyDescent="0.25">
      <c r="F165"/>
      <c r="G165"/>
      <c r="H165"/>
    </row>
    <row r="166" spans="6:8" x14ac:dyDescent="0.25">
      <c r="F166"/>
      <c r="G166"/>
      <c r="H166"/>
    </row>
    <row r="167" spans="6:8" x14ac:dyDescent="0.25">
      <c r="F167"/>
      <c r="G167"/>
      <c r="H167"/>
    </row>
    <row r="168" spans="6:8" x14ac:dyDescent="0.25">
      <c r="F168"/>
      <c r="G168"/>
      <c r="H168"/>
    </row>
    <row r="169" spans="6:8" x14ac:dyDescent="0.25">
      <c r="F169"/>
      <c r="G169"/>
      <c r="H169"/>
    </row>
    <row r="170" spans="6:8" x14ac:dyDescent="0.25">
      <c r="F170"/>
      <c r="G170"/>
      <c r="H170"/>
    </row>
    <row r="171" spans="6:8" x14ac:dyDescent="0.25">
      <c r="F171"/>
      <c r="G171"/>
      <c r="H171"/>
    </row>
    <row r="172" spans="6:8" x14ac:dyDescent="0.25">
      <c r="F172"/>
      <c r="G172"/>
      <c r="H172"/>
    </row>
    <row r="173" spans="6:8" x14ac:dyDescent="0.25">
      <c r="F173"/>
      <c r="G173"/>
      <c r="H173"/>
    </row>
    <row r="174" spans="6:8" x14ac:dyDescent="0.25">
      <c r="F174"/>
      <c r="G174"/>
      <c r="H174"/>
    </row>
    <row r="175" spans="6:8" x14ac:dyDescent="0.25">
      <c r="F175"/>
      <c r="G175"/>
      <c r="H175"/>
    </row>
    <row r="176" spans="6:8" x14ac:dyDescent="0.25">
      <c r="F176"/>
      <c r="G176"/>
      <c r="H176"/>
    </row>
    <row r="177" spans="6:8" x14ac:dyDescent="0.25">
      <c r="F177"/>
      <c r="G177"/>
      <c r="H177"/>
    </row>
    <row r="178" spans="6:8" x14ac:dyDescent="0.25">
      <c r="F178"/>
      <c r="G178"/>
      <c r="H178"/>
    </row>
    <row r="179" spans="6:8" x14ac:dyDescent="0.25">
      <c r="F179"/>
      <c r="G179"/>
      <c r="H179"/>
    </row>
    <row r="180" spans="6:8" x14ac:dyDescent="0.25">
      <c r="F180"/>
      <c r="G180"/>
      <c r="H180"/>
    </row>
    <row r="181" spans="6:8" x14ac:dyDescent="0.25">
      <c r="F181"/>
      <c r="G181"/>
      <c r="H181"/>
    </row>
    <row r="182" spans="6:8" x14ac:dyDescent="0.25">
      <c r="F182"/>
      <c r="G182"/>
      <c r="H182"/>
    </row>
    <row r="183" spans="6:8" x14ac:dyDescent="0.25">
      <c r="F183"/>
      <c r="G183"/>
      <c r="H183"/>
    </row>
    <row r="184" spans="6:8" x14ac:dyDescent="0.25">
      <c r="F184"/>
      <c r="G184"/>
      <c r="H184"/>
    </row>
    <row r="185" spans="6:8" x14ac:dyDescent="0.25">
      <c r="F185"/>
      <c r="G185"/>
      <c r="H185"/>
    </row>
    <row r="186" spans="6:8" x14ac:dyDescent="0.25">
      <c r="F186"/>
      <c r="G186"/>
      <c r="H186"/>
    </row>
    <row r="187" spans="6:8" x14ac:dyDescent="0.25">
      <c r="F187"/>
      <c r="G187"/>
      <c r="H187"/>
    </row>
    <row r="188" spans="6:8" x14ac:dyDescent="0.25">
      <c r="F188"/>
      <c r="G188"/>
      <c r="H188"/>
    </row>
    <row r="189" spans="6:8" x14ac:dyDescent="0.25">
      <c r="F189"/>
      <c r="G189"/>
      <c r="H189"/>
    </row>
    <row r="190" spans="6:8" x14ac:dyDescent="0.25">
      <c r="F190"/>
      <c r="G190"/>
      <c r="H190"/>
    </row>
    <row r="191" spans="6:8" x14ac:dyDescent="0.25">
      <c r="F191"/>
      <c r="G191"/>
      <c r="H191"/>
    </row>
    <row r="192" spans="6:8" x14ac:dyDescent="0.25">
      <c r="F192"/>
      <c r="G192"/>
      <c r="H192"/>
    </row>
    <row r="193" spans="6:8" x14ac:dyDescent="0.25">
      <c r="F193"/>
      <c r="G193"/>
      <c r="H193"/>
    </row>
    <row r="194" spans="6:8" x14ac:dyDescent="0.25">
      <c r="F194"/>
      <c r="G194"/>
      <c r="H194"/>
    </row>
    <row r="195" spans="6:8" x14ac:dyDescent="0.25">
      <c r="F195"/>
      <c r="G195"/>
      <c r="H195"/>
    </row>
    <row r="196" spans="6:8" x14ac:dyDescent="0.25">
      <c r="F196"/>
      <c r="G196"/>
      <c r="H196"/>
    </row>
    <row r="197" spans="6:8" x14ac:dyDescent="0.25">
      <c r="F197"/>
      <c r="G197"/>
      <c r="H197"/>
    </row>
    <row r="198" spans="6:8" x14ac:dyDescent="0.25">
      <c r="F198"/>
      <c r="G198"/>
      <c r="H198"/>
    </row>
    <row r="199" spans="6:8" x14ac:dyDescent="0.25">
      <c r="F199"/>
      <c r="G199"/>
      <c r="H199"/>
    </row>
    <row r="200" spans="6:8" x14ac:dyDescent="0.25">
      <c r="F200"/>
      <c r="G200"/>
      <c r="H200"/>
    </row>
    <row r="201" spans="6:8" x14ac:dyDescent="0.25">
      <c r="F201"/>
      <c r="G201"/>
      <c r="H201"/>
    </row>
    <row r="202" spans="6:8" x14ac:dyDescent="0.25">
      <c r="F202"/>
      <c r="G202"/>
      <c r="H202"/>
    </row>
    <row r="203" spans="6:8" x14ac:dyDescent="0.25">
      <c r="F203"/>
      <c r="G203"/>
      <c r="H203"/>
    </row>
    <row r="204" spans="6:8" x14ac:dyDescent="0.25">
      <c r="F204"/>
      <c r="G204"/>
      <c r="H204"/>
    </row>
    <row r="205" spans="6:8" x14ac:dyDescent="0.25">
      <c r="F205"/>
      <c r="G205"/>
      <c r="H205"/>
    </row>
    <row r="206" spans="6:8" x14ac:dyDescent="0.25">
      <c r="F206"/>
      <c r="G206"/>
      <c r="H206"/>
    </row>
    <row r="207" spans="6:8" x14ac:dyDescent="0.25">
      <c r="F207"/>
      <c r="G207"/>
      <c r="H207"/>
    </row>
    <row r="208" spans="6:8" x14ac:dyDescent="0.25">
      <c r="F208"/>
      <c r="G208"/>
      <c r="H208"/>
    </row>
    <row r="209" spans="6:8" x14ac:dyDescent="0.25">
      <c r="F209"/>
      <c r="G209"/>
      <c r="H209"/>
    </row>
    <row r="210" spans="6:8" x14ac:dyDescent="0.25">
      <c r="F210"/>
      <c r="G210"/>
      <c r="H210"/>
    </row>
    <row r="211" spans="6:8" x14ac:dyDescent="0.25">
      <c r="F211"/>
      <c r="G211"/>
      <c r="H211"/>
    </row>
    <row r="212" spans="6:8" x14ac:dyDescent="0.25">
      <c r="F212"/>
      <c r="G212"/>
      <c r="H212"/>
    </row>
    <row r="213" spans="6:8" x14ac:dyDescent="0.25">
      <c r="F213"/>
      <c r="G213"/>
      <c r="H213"/>
    </row>
    <row r="214" spans="6:8" x14ac:dyDescent="0.25">
      <c r="F214"/>
      <c r="G214"/>
      <c r="H214"/>
    </row>
    <row r="215" spans="6:8" x14ac:dyDescent="0.25">
      <c r="F215"/>
      <c r="G215"/>
      <c r="H215"/>
    </row>
    <row r="216" spans="6:8" x14ac:dyDescent="0.25">
      <c r="F216"/>
      <c r="G216"/>
      <c r="H216"/>
    </row>
    <row r="217" spans="6:8" x14ac:dyDescent="0.25">
      <c r="F217"/>
      <c r="G217"/>
      <c r="H217"/>
    </row>
    <row r="218" spans="6:8" x14ac:dyDescent="0.25">
      <c r="F218"/>
      <c r="G218"/>
      <c r="H218"/>
    </row>
    <row r="219" spans="6:8" x14ac:dyDescent="0.25">
      <c r="F219"/>
      <c r="G219"/>
      <c r="H219"/>
    </row>
    <row r="220" spans="6:8" x14ac:dyDescent="0.25">
      <c r="F220"/>
      <c r="G220"/>
      <c r="H220"/>
    </row>
    <row r="221" spans="6:8" x14ac:dyDescent="0.25">
      <c r="F221"/>
      <c r="G221"/>
      <c r="H221"/>
    </row>
    <row r="222" spans="6:8" x14ac:dyDescent="0.25">
      <c r="F222"/>
      <c r="G222"/>
      <c r="H222"/>
    </row>
    <row r="223" spans="6:8" x14ac:dyDescent="0.25">
      <c r="F223"/>
      <c r="G223"/>
      <c r="H223"/>
    </row>
    <row r="224" spans="6:8" x14ac:dyDescent="0.25">
      <c r="F224"/>
      <c r="G224"/>
      <c r="H224"/>
    </row>
    <row r="225" spans="6:8" x14ac:dyDescent="0.25">
      <c r="F225"/>
      <c r="G225"/>
      <c r="H225"/>
    </row>
    <row r="226" spans="6:8" x14ac:dyDescent="0.25">
      <c r="F226"/>
      <c r="G226"/>
      <c r="H226"/>
    </row>
    <row r="227" spans="6:8" x14ac:dyDescent="0.25">
      <c r="F227"/>
      <c r="G227"/>
      <c r="H227"/>
    </row>
    <row r="228" spans="6:8" x14ac:dyDescent="0.25">
      <c r="F228"/>
      <c r="G228"/>
      <c r="H228"/>
    </row>
    <row r="229" spans="6:8" x14ac:dyDescent="0.25">
      <c r="F229"/>
      <c r="G229"/>
      <c r="H229"/>
    </row>
    <row r="230" spans="6:8" x14ac:dyDescent="0.25">
      <c r="F230"/>
      <c r="G230"/>
      <c r="H230"/>
    </row>
    <row r="231" spans="6:8" x14ac:dyDescent="0.25">
      <c r="G231"/>
      <c r="H231"/>
    </row>
  </sheetData>
  <mergeCells count="3">
    <mergeCell ref="B1:G1"/>
    <mergeCell ref="B65:C65"/>
    <mergeCell ref="B66:C66"/>
  </mergeCells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DEE33-BDF0-4717-A91A-8B853693587A}">
  <dimension ref="A1:L228"/>
  <sheetViews>
    <sheetView zoomScaleNormal="100" workbookViewId="0">
      <selection activeCell="F61" sqref="F61"/>
    </sheetView>
  </sheetViews>
  <sheetFormatPr defaultColWidth="9.140625" defaultRowHeight="15" x14ac:dyDescent="0.25"/>
  <cols>
    <col min="1" max="1" width="29.5703125" style="45" customWidth="1"/>
    <col min="2" max="2" width="45.28515625" style="45" customWidth="1"/>
    <col min="3" max="3" width="29.7109375" style="45" customWidth="1"/>
    <col min="4" max="4" width="21.42578125" style="45" customWidth="1"/>
    <col min="5" max="5" width="17.42578125" style="45" customWidth="1"/>
    <col min="6" max="6" width="16.42578125" style="45" customWidth="1"/>
    <col min="7" max="7" width="17.140625" style="45" customWidth="1"/>
    <col min="8" max="8" width="16.85546875" style="45" bestFit="1" customWidth="1"/>
    <col min="9" max="16384" width="9.140625" style="45"/>
  </cols>
  <sheetData>
    <row r="1" spans="1:8" customFormat="1" ht="21.75" customHeight="1" x14ac:dyDescent="0.25">
      <c r="A1" s="46"/>
      <c r="B1" s="112" t="s">
        <v>0</v>
      </c>
      <c r="C1" s="113"/>
      <c r="D1" s="113"/>
      <c r="E1" s="113"/>
      <c r="F1" s="113"/>
      <c r="G1" s="114"/>
      <c r="H1" s="47"/>
    </row>
    <row r="2" spans="1:8" customFormat="1" ht="30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3"/>
      <c r="F2" s="4" t="s">
        <v>5</v>
      </c>
      <c r="G2" s="5"/>
      <c r="H2" s="6"/>
    </row>
    <row r="3" spans="1:8" customFormat="1" ht="30.6" customHeight="1" x14ac:dyDescent="0.25">
      <c r="A3" s="7">
        <v>1</v>
      </c>
      <c r="B3" s="8" t="s">
        <v>6</v>
      </c>
      <c r="C3" s="8"/>
      <c r="D3" s="9">
        <v>45717</v>
      </c>
      <c r="E3" s="9"/>
      <c r="F3" s="10">
        <f>532.69+550</f>
        <v>1082.69</v>
      </c>
      <c r="G3" s="5"/>
      <c r="H3" s="6"/>
    </row>
    <row r="4" spans="1:8" customFormat="1" ht="30.6" customHeight="1" x14ac:dyDescent="0.25">
      <c r="A4" s="7">
        <v>2</v>
      </c>
      <c r="B4" s="8" t="s">
        <v>8</v>
      </c>
      <c r="C4" s="8" t="s">
        <v>9</v>
      </c>
      <c r="D4" s="9">
        <v>45717</v>
      </c>
      <c r="E4" s="9"/>
      <c r="F4" s="10">
        <v>39590</v>
      </c>
      <c r="G4" s="5"/>
      <c r="H4" s="11"/>
    </row>
    <row r="5" spans="1:8" customFormat="1" ht="30.6" customHeight="1" x14ac:dyDescent="0.25">
      <c r="A5" s="7">
        <v>3</v>
      </c>
      <c r="B5" s="8" t="s">
        <v>10</v>
      </c>
      <c r="C5" s="12" t="s">
        <v>11</v>
      </c>
      <c r="D5" s="9">
        <v>45717</v>
      </c>
      <c r="E5" s="9"/>
      <c r="F5" s="10">
        <f>(38676.1*7%)+38676.1</f>
        <v>41383.426999999996</v>
      </c>
      <c r="G5" s="5"/>
      <c r="H5" s="11"/>
    </row>
    <row r="6" spans="1:8" customFormat="1" ht="30.6" customHeight="1" x14ac:dyDescent="0.25">
      <c r="A6" s="7">
        <v>4</v>
      </c>
      <c r="B6" s="8" t="s">
        <v>156</v>
      </c>
      <c r="C6" s="12" t="s">
        <v>11</v>
      </c>
      <c r="D6" s="9">
        <v>45717</v>
      </c>
      <c r="E6" s="9"/>
      <c r="F6" s="10">
        <f>(38676.1*7%)*2</f>
        <v>5414.6540000000005</v>
      </c>
      <c r="G6" s="5"/>
      <c r="H6" s="11"/>
    </row>
    <row r="7" spans="1:8" customFormat="1" ht="30.6" customHeight="1" x14ac:dyDescent="0.25">
      <c r="A7" s="7">
        <v>5</v>
      </c>
      <c r="B7" s="8" t="s">
        <v>12</v>
      </c>
      <c r="C7" s="8"/>
      <c r="D7" s="9">
        <v>45717</v>
      </c>
      <c r="E7" s="9"/>
      <c r="F7" s="10">
        <v>408.39</v>
      </c>
      <c r="G7" s="5"/>
      <c r="H7" s="6"/>
    </row>
    <row r="8" spans="1:8" customFormat="1" ht="30.6" customHeight="1" x14ac:dyDescent="0.25">
      <c r="A8" s="7">
        <v>6</v>
      </c>
      <c r="B8" s="8" t="s">
        <v>13</v>
      </c>
      <c r="C8" s="8" t="s">
        <v>14</v>
      </c>
      <c r="D8" s="9">
        <v>45717</v>
      </c>
      <c r="E8" s="9"/>
      <c r="F8" s="13">
        <v>1518</v>
      </c>
      <c r="G8" s="5"/>
      <c r="H8" s="6"/>
    </row>
    <row r="9" spans="1:8" customFormat="1" ht="30.6" customHeight="1" x14ac:dyDescent="0.25">
      <c r="A9" s="7">
        <v>7</v>
      </c>
      <c r="B9" s="8" t="s">
        <v>15</v>
      </c>
      <c r="C9" s="8" t="s">
        <v>16</v>
      </c>
      <c r="D9" s="9">
        <v>45717</v>
      </c>
      <c r="E9" s="9"/>
      <c r="F9" s="13">
        <v>2500</v>
      </c>
      <c r="G9" s="5"/>
      <c r="H9" s="6"/>
    </row>
    <row r="10" spans="1:8" customFormat="1" ht="34.5" customHeight="1" x14ac:dyDescent="0.25">
      <c r="A10" s="7">
        <v>8</v>
      </c>
      <c r="B10" s="14" t="s">
        <v>17</v>
      </c>
      <c r="C10" s="12" t="s">
        <v>18</v>
      </c>
      <c r="D10" s="9">
        <v>45717</v>
      </c>
      <c r="E10" s="9"/>
      <c r="F10" s="13">
        <v>880</v>
      </c>
      <c r="G10" s="5"/>
      <c r="H10" s="6"/>
    </row>
    <row r="11" spans="1:8" customFormat="1" ht="30.6" customHeight="1" x14ac:dyDescent="0.25">
      <c r="A11" s="7">
        <v>9</v>
      </c>
      <c r="B11" s="14" t="s">
        <v>19</v>
      </c>
      <c r="C11" s="14" t="s">
        <v>20</v>
      </c>
      <c r="D11" s="9">
        <v>45717</v>
      </c>
      <c r="E11" s="9"/>
      <c r="F11" s="13">
        <v>65.25</v>
      </c>
      <c r="G11" s="5"/>
      <c r="H11" s="6"/>
    </row>
    <row r="12" spans="1:8" customFormat="1" ht="30.6" customHeight="1" x14ac:dyDescent="0.25">
      <c r="A12" s="7">
        <v>10</v>
      </c>
      <c r="B12" s="14" t="s">
        <v>149</v>
      </c>
      <c r="C12" s="14" t="s">
        <v>150</v>
      </c>
      <c r="D12" s="9">
        <v>45717</v>
      </c>
      <c r="E12" s="9"/>
      <c r="F12" s="13">
        <v>149.9</v>
      </c>
      <c r="G12" s="5"/>
      <c r="H12" s="6"/>
    </row>
    <row r="13" spans="1:8" customFormat="1" ht="30.6" customHeight="1" x14ac:dyDescent="0.25">
      <c r="A13" s="7">
        <v>11</v>
      </c>
      <c r="B13" s="14" t="s">
        <v>21</v>
      </c>
      <c r="C13" s="12" t="s">
        <v>22</v>
      </c>
      <c r="D13" s="9">
        <v>45717</v>
      </c>
      <c r="E13" s="9"/>
      <c r="F13" s="13">
        <f>231</f>
        <v>231</v>
      </c>
      <c r="G13" s="5"/>
      <c r="H13" s="15"/>
    </row>
    <row r="14" spans="1:8" customFormat="1" ht="30.6" customHeight="1" x14ac:dyDescent="0.25">
      <c r="A14" s="7">
        <v>12</v>
      </c>
      <c r="B14" s="14" t="s">
        <v>23</v>
      </c>
      <c r="C14" s="8"/>
      <c r="D14" s="9">
        <v>45717</v>
      </c>
      <c r="E14" s="9"/>
      <c r="F14" s="13"/>
      <c r="G14" s="5"/>
      <c r="H14" s="6"/>
    </row>
    <row r="15" spans="1:8" customFormat="1" ht="31.5" customHeight="1" x14ac:dyDescent="0.25">
      <c r="A15" s="7">
        <v>13</v>
      </c>
      <c r="B15" s="14" t="s">
        <v>24</v>
      </c>
      <c r="C15" s="12" t="s">
        <v>25</v>
      </c>
      <c r="D15" s="9">
        <v>45717</v>
      </c>
      <c r="E15" s="9"/>
      <c r="F15" s="13">
        <v>473.6</v>
      </c>
      <c r="G15" s="5"/>
      <c r="H15" s="6"/>
    </row>
    <row r="16" spans="1:8" customFormat="1" ht="31.5" customHeight="1" x14ac:dyDescent="0.25">
      <c r="A16" s="7">
        <v>14</v>
      </c>
      <c r="B16" s="14" t="s">
        <v>157</v>
      </c>
      <c r="C16" s="12" t="s">
        <v>158</v>
      </c>
      <c r="D16" s="9">
        <v>45717</v>
      </c>
      <c r="E16" s="9"/>
      <c r="F16" s="13">
        <v>73.81</v>
      </c>
      <c r="G16" s="5"/>
      <c r="H16" s="6"/>
    </row>
    <row r="17" spans="1:12" customFormat="1" ht="31.5" customHeight="1" x14ac:dyDescent="0.25">
      <c r="A17" s="7">
        <v>15</v>
      </c>
      <c r="B17" s="14" t="s">
        <v>159</v>
      </c>
      <c r="C17" s="12" t="s">
        <v>160</v>
      </c>
      <c r="D17" s="9">
        <v>45717</v>
      </c>
      <c r="E17" s="9"/>
      <c r="F17" s="13">
        <f>722*2</f>
        <v>1444</v>
      </c>
      <c r="G17" s="5"/>
      <c r="H17" s="6"/>
    </row>
    <row r="18" spans="1:12" customFormat="1" ht="42" customHeight="1" x14ac:dyDescent="0.25">
      <c r="A18" s="48"/>
      <c r="B18" s="49" t="s">
        <v>31</v>
      </c>
      <c r="C18" s="50"/>
      <c r="D18" s="51"/>
      <c r="E18" s="52"/>
      <c r="F18" s="53">
        <f>SUM(F3:F17)</f>
        <v>95214.72099999999</v>
      </c>
      <c r="G18" s="54"/>
      <c r="H18" s="55"/>
    </row>
    <row r="19" spans="1:12" customFormat="1" ht="21.75" customHeight="1" x14ac:dyDescent="0.25">
      <c r="A19" s="16" t="s">
        <v>32</v>
      </c>
      <c r="B19" s="17" t="s">
        <v>33</v>
      </c>
      <c r="C19" s="18" t="s">
        <v>34</v>
      </c>
      <c r="D19" s="16" t="s">
        <v>35</v>
      </c>
      <c r="E19" s="16" t="s">
        <v>36</v>
      </c>
      <c r="F19" s="16" t="s">
        <v>37</v>
      </c>
      <c r="G19" s="19" t="s">
        <v>38</v>
      </c>
      <c r="H19" s="18" t="s">
        <v>39</v>
      </c>
    </row>
    <row r="20" spans="1:12" s="72" customFormat="1" ht="15" customHeight="1" x14ac:dyDescent="0.25">
      <c r="A20" s="65" t="s">
        <v>40</v>
      </c>
      <c r="B20" s="66" t="s">
        <v>41</v>
      </c>
      <c r="C20" s="67" t="s">
        <v>42</v>
      </c>
      <c r="D20" s="68">
        <v>4016</v>
      </c>
      <c r="E20" s="69">
        <f>D20/$D$62</f>
        <v>1.3299610959886176E-2</v>
      </c>
      <c r="F20" s="70">
        <f>$F$18*E20</f>
        <v>1266.3187469541042</v>
      </c>
      <c r="G20" s="71">
        <f>F20*5%</f>
        <v>63.315937347705216</v>
      </c>
      <c r="H20" s="71">
        <f t="shared" ref="H20:H61" si="0">F20+G20</f>
        <v>1329.6346843018093</v>
      </c>
    </row>
    <row r="21" spans="1:12" s="74" customFormat="1" x14ac:dyDescent="0.25">
      <c r="A21" s="65" t="s">
        <v>43</v>
      </c>
      <c r="B21" s="73" t="s">
        <v>44</v>
      </c>
      <c r="C21" s="67">
        <v>18778225000139</v>
      </c>
      <c r="D21" s="68">
        <v>8711.2199999999993</v>
      </c>
      <c r="E21" s="69">
        <f t="shared" ref="E21:E61" si="1">D21/$D$62</f>
        <v>2.8848564986548714E-2</v>
      </c>
      <c r="F21" s="70">
        <f t="shared" ref="F21:F61" si="2">$F$18*E21</f>
        <v>2746.8080664446043</v>
      </c>
      <c r="G21" s="71">
        <f t="shared" ref="G21:G61" si="3">F21*5%</f>
        <v>137.34040332223023</v>
      </c>
      <c r="H21" s="71">
        <f t="shared" si="0"/>
        <v>2884.1484697668343</v>
      </c>
    </row>
    <row r="22" spans="1:12" s="74" customFormat="1" x14ac:dyDescent="0.25">
      <c r="A22" s="65" t="s">
        <v>45</v>
      </c>
      <c r="B22" s="73" t="s">
        <v>46</v>
      </c>
      <c r="C22" s="67">
        <v>41993875000119</v>
      </c>
      <c r="D22" s="68">
        <v>3641.8</v>
      </c>
      <c r="E22" s="69">
        <f t="shared" si="1"/>
        <v>1.206038924146252E-2</v>
      </c>
      <c r="F22" s="70">
        <f t="shared" si="2"/>
        <v>1148.3265967772554</v>
      </c>
      <c r="G22" s="71">
        <f t="shared" si="3"/>
        <v>57.416329838862772</v>
      </c>
      <c r="H22" s="71">
        <f t="shared" si="0"/>
        <v>1205.7429266161182</v>
      </c>
    </row>
    <row r="23" spans="1:12" s="74" customFormat="1" x14ac:dyDescent="0.25">
      <c r="A23" s="65" t="s">
        <v>47</v>
      </c>
      <c r="B23" s="66" t="s">
        <v>48</v>
      </c>
      <c r="C23" s="67">
        <v>24781302000102</v>
      </c>
      <c r="D23" s="68">
        <v>3430</v>
      </c>
      <c r="E23" s="69">
        <f t="shared" si="1"/>
        <v>1.1358980476197605E-2</v>
      </c>
      <c r="F23" s="70">
        <f t="shared" si="2"/>
        <v>1081.542156885602</v>
      </c>
      <c r="G23" s="71">
        <f t="shared" si="3"/>
        <v>54.077107844280107</v>
      </c>
      <c r="H23" s="71">
        <f t="shared" si="0"/>
        <v>1135.6192647298822</v>
      </c>
    </row>
    <row r="24" spans="1:12" customFormat="1" x14ac:dyDescent="0.25">
      <c r="A24" s="20" t="s">
        <v>161</v>
      </c>
      <c r="B24" s="66" t="s">
        <v>162</v>
      </c>
      <c r="C24" s="22" t="s">
        <v>163</v>
      </c>
      <c r="D24" s="23">
        <v>9403</v>
      </c>
      <c r="E24" s="69">
        <f t="shared" si="1"/>
        <v>3.1139502454135885E-2</v>
      </c>
      <c r="F24" s="70">
        <f t="shared" si="2"/>
        <v>2964.9390382493634</v>
      </c>
      <c r="G24" s="26">
        <f t="shared" si="3"/>
        <v>148.24695191246818</v>
      </c>
      <c r="H24" s="26">
        <f t="shared" si="0"/>
        <v>3113.1859901618318</v>
      </c>
    </row>
    <row r="25" spans="1:12" s="74" customFormat="1" x14ac:dyDescent="0.25">
      <c r="A25" s="65" t="s">
        <v>49</v>
      </c>
      <c r="B25" s="66" t="s">
        <v>50</v>
      </c>
      <c r="C25" s="67">
        <v>38649716000197</v>
      </c>
      <c r="D25" s="68">
        <v>3440</v>
      </c>
      <c r="E25" s="69">
        <f t="shared" si="1"/>
        <v>1.1392097037352699E-2</v>
      </c>
      <c r="F25" s="70">
        <f t="shared" si="2"/>
        <v>1084.6953410164638</v>
      </c>
      <c r="G25" s="71">
        <f t="shared" si="3"/>
        <v>54.234767050823194</v>
      </c>
      <c r="H25" s="71">
        <f t="shared" si="0"/>
        <v>1138.9301080672869</v>
      </c>
    </row>
    <row r="26" spans="1:12" s="74" customFormat="1" x14ac:dyDescent="0.25">
      <c r="A26" s="65" t="s">
        <v>51</v>
      </c>
      <c r="B26" s="66" t="s">
        <v>52</v>
      </c>
      <c r="C26" s="67" t="s">
        <v>53</v>
      </c>
      <c r="D26" s="68">
        <v>4056</v>
      </c>
      <c r="E26" s="69">
        <f t="shared" si="1"/>
        <v>1.3432077204506556E-2</v>
      </c>
      <c r="F26" s="70">
        <f t="shared" si="2"/>
        <v>1278.9314834775516</v>
      </c>
      <c r="G26" s="71">
        <f t="shared" si="3"/>
        <v>63.946574173877586</v>
      </c>
      <c r="H26" s="71">
        <f t="shared" si="0"/>
        <v>1342.8780576514291</v>
      </c>
    </row>
    <row r="27" spans="1:12" s="74" customFormat="1" x14ac:dyDescent="0.25">
      <c r="A27" s="65" t="s">
        <v>54</v>
      </c>
      <c r="B27" s="66" t="s">
        <v>55</v>
      </c>
      <c r="C27" s="67" t="s">
        <v>56</v>
      </c>
      <c r="D27" s="68">
        <v>11580</v>
      </c>
      <c r="E27" s="69">
        <f t="shared" si="1"/>
        <v>3.8348977817600077E-2</v>
      </c>
      <c r="F27" s="70">
        <f t="shared" si="2"/>
        <v>3651.3872235379799</v>
      </c>
      <c r="G27" s="71">
        <f t="shared" si="3"/>
        <v>182.56936117689901</v>
      </c>
      <c r="H27" s="71">
        <f t="shared" si="0"/>
        <v>3833.9565847148788</v>
      </c>
    </row>
    <row r="28" spans="1:12" s="74" customFormat="1" x14ac:dyDescent="0.25">
      <c r="A28" s="65" t="s">
        <v>57</v>
      </c>
      <c r="B28" s="66" t="s">
        <v>58</v>
      </c>
      <c r="C28" s="67" t="s">
        <v>59</v>
      </c>
      <c r="D28" s="68">
        <f>360+360+1510</f>
        <v>2230</v>
      </c>
      <c r="E28" s="69">
        <f t="shared" si="1"/>
        <v>7.3849931375861979E-3</v>
      </c>
      <c r="F28" s="70">
        <f t="shared" si="2"/>
        <v>703.16006118218434</v>
      </c>
      <c r="G28" s="71">
        <f t="shared" si="3"/>
        <v>35.15800305910922</v>
      </c>
      <c r="H28" s="71">
        <f t="shared" si="0"/>
        <v>738.31806424129354</v>
      </c>
    </row>
    <row r="29" spans="1:12" s="79" customFormat="1" ht="15.75" customHeight="1" x14ac:dyDescent="0.25">
      <c r="A29" s="65" t="s">
        <v>60</v>
      </c>
      <c r="B29" s="75" t="s">
        <v>61</v>
      </c>
      <c r="C29" s="76" t="s">
        <v>62</v>
      </c>
      <c r="D29" s="68">
        <f>5224+3930</f>
        <v>9154</v>
      </c>
      <c r="E29" s="69">
        <f t="shared" si="1"/>
        <v>3.0314900081374017E-2</v>
      </c>
      <c r="F29" s="70">
        <f t="shared" si="2"/>
        <v>2886.4247533909042</v>
      </c>
      <c r="G29" s="71">
        <f t="shared" si="3"/>
        <v>144.32123766954521</v>
      </c>
      <c r="H29" s="77">
        <f t="shared" si="0"/>
        <v>3030.7459910604493</v>
      </c>
      <c r="I29" s="78" t="s">
        <v>63</v>
      </c>
      <c r="L29" s="79" t="s">
        <v>64</v>
      </c>
    </row>
    <row r="30" spans="1:12" s="74" customFormat="1" ht="15.75" customHeight="1" x14ac:dyDescent="0.25">
      <c r="A30" s="65" t="s">
        <v>65</v>
      </c>
      <c r="B30" s="73" t="s">
        <v>66</v>
      </c>
      <c r="C30" s="67" t="s">
        <v>67</v>
      </c>
      <c r="D30" s="68">
        <v>2610</v>
      </c>
      <c r="E30" s="69">
        <f t="shared" si="1"/>
        <v>8.6434224614798105E-3</v>
      </c>
      <c r="F30" s="70">
        <f t="shared" si="2"/>
        <v>822.98105815493329</v>
      </c>
      <c r="G30" s="71">
        <f t="shared" si="3"/>
        <v>41.149052907746665</v>
      </c>
      <c r="H30" s="71">
        <f t="shared" si="0"/>
        <v>864.13011106267993</v>
      </c>
    </row>
    <row r="31" spans="1:12" s="74" customFormat="1" ht="15.75" customHeight="1" x14ac:dyDescent="0.25">
      <c r="A31" s="65" t="s">
        <v>68</v>
      </c>
      <c r="B31" s="73" t="s">
        <v>69</v>
      </c>
      <c r="C31" s="67" t="s">
        <v>70</v>
      </c>
      <c r="D31" s="68">
        <v>5515</v>
      </c>
      <c r="E31" s="69">
        <f t="shared" si="1"/>
        <v>1.8263783477034924E-2</v>
      </c>
      <c r="F31" s="70">
        <f t="shared" si="2"/>
        <v>1738.98104817029</v>
      </c>
      <c r="G31" s="71">
        <f t="shared" si="3"/>
        <v>86.949052408514504</v>
      </c>
      <c r="H31" s="71">
        <f t="shared" si="0"/>
        <v>1825.9301005788045</v>
      </c>
    </row>
    <row r="32" spans="1:12" s="74" customFormat="1" ht="15.75" customHeight="1" x14ac:dyDescent="0.25">
      <c r="A32" s="65" t="s">
        <v>71</v>
      </c>
      <c r="B32" s="66" t="s">
        <v>72</v>
      </c>
      <c r="C32" s="67">
        <v>17202383000183</v>
      </c>
      <c r="D32" s="68">
        <v>15332</v>
      </c>
      <c r="E32" s="69">
        <f t="shared" si="1"/>
        <v>5.0774311562991746E-2</v>
      </c>
      <c r="F32" s="70">
        <f t="shared" si="2"/>
        <v>4834.4619094373329</v>
      </c>
      <c r="G32" s="71">
        <f t="shared" si="3"/>
        <v>241.72309547186666</v>
      </c>
      <c r="H32" s="71">
        <f t="shared" si="0"/>
        <v>5076.1850049092</v>
      </c>
    </row>
    <row r="33" spans="1:12" s="74" customFormat="1" ht="15.75" customHeight="1" x14ac:dyDescent="0.25">
      <c r="A33" s="65" t="s">
        <v>73</v>
      </c>
      <c r="B33" s="66" t="s">
        <v>74</v>
      </c>
      <c r="C33" s="67">
        <v>18183488000103</v>
      </c>
      <c r="D33" s="68">
        <v>7238</v>
      </c>
      <c r="E33" s="69">
        <f t="shared" si="1"/>
        <v>2.3969766964057802E-2</v>
      </c>
      <c r="F33" s="70">
        <f t="shared" si="2"/>
        <v>2282.2746739177805</v>
      </c>
      <c r="G33" s="71">
        <f t="shared" si="3"/>
        <v>114.11373369588904</v>
      </c>
      <c r="H33" s="71">
        <f t="shared" si="0"/>
        <v>2396.3884076136696</v>
      </c>
    </row>
    <row r="34" spans="1:12" s="74" customFormat="1" x14ac:dyDescent="0.25">
      <c r="A34" s="65" t="s">
        <v>75</v>
      </c>
      <c r="B34" s="66" t="s">
        <v>76</v>
      </c>
      <c r="C34" s="67">
        <v>18244070000150</v>
      </c>
      <c r="D34" s="68">
        <v>5941</v>
      </c>
      <c r="E34" s="69">
        <f t="shared" si="1"/>
        <v>1.9674548982241975E-2</v>
      </c>
      <c r="F34" s="70">
        <f t="shared" si="2"/>
        <v>1873.3066921450034</v>
      </c>
      <c r="G34" s="71">
        <f t="shared" si="3"/>
        <v>93.665334607250173</v>
      </c>
      <c r="H34" s="71">
        <f t="shared" si="0"/>
        <v>1966.9720267522534</v>
      </c>
    </row>
    <row r="35" spans="1:12" s="74" customFormat="1" x14ac:dyDescent="0.25">
      <c r="A35" s="65" t="s">
        <v>77</v>
      </c>
      <c r="B35" s="66" t="s">
        <v>78</v>
      </c>
      <c r="C35" s="67">
        <v>18244039000110</v>
      </c>
      <c r="D35" s="68">
        <v>4460</v>
      </c>
      <c r="E35" s="69">
        <f t="shared" si="1"/>
        <v>1.4769986275172396E-2</v>
      </c>
      <c r="F35" s="70">
        <f t="shared" si="2"/>
        <v>1406.3201223643687</v>
      </c>
      <c r="G35" s="71">
        <f t="shared" si="3"/>
        <v>70.316006118218439</v>
      </c>
      <c r="H35" s="71">
        <f t="shared" si="0"/>
        <v>1476.6361284825871</v>
      </c>
    </row>
    <row r="36" spans="1:12" s="74" customFormat="1" x14ac:dyDescent="0.25">
      <c r="A36" s="65" t="s">
        <v>79</v>
      </c>
      <c r="B36" s="66" t="s">
        <v>153</v>
      </c>
      <c r="C36" s="67" t="s">
        <v>154</v>
      </c>
      <c r="D36" s="68">
        <v>4415</v>
      </c>
      <c r="E36" s="69">
        <f t="shared" si="1"/>
        <v>1.4620961749974468E-2</v>
      </c>
      <c r="F36" s="70">
        <f t="shared" si="2"/>
        <v>1392.1307937754905</v>
      </c>
      <c r="G36" s="71">
        <f t="shared" si="3"/>
        <v>69.606539688774532</v>
      </c>
      <c r="H36" s="71">
        <f t="shared" si="0"/>
        <v>1461.737333464265</v>
      </c>
    </row>
    <row r="37" spans="1:12" s="74" customFormat="1" x14ac:dyDescent="0.25">
      <c r="A37" s="65" t="s">
        <v>81</v>
      </c>
      <c r="B37" s="66" t="s">
        <v>82</v>
      </c>
      <c r="C37" s="67" t="s">
        <v>83</v>
      </c>
      <c r="D37" s="68">
        <v>8673</v>
      </c>
      <c r="E37" s="69">
        <f t="shared" si="1"/>
        <v>2.8721993489813944E-2</v>
      </c>
      <c r="F37" s="70">
        <f t="shared" si="2"/>
        <v>2734.7565966964507</v>
      </c>
      <c r="G37" s="71">
        <f t="shared" si="3"/>
        <v>136.73782983482255</v>
      </c>
      <c r="H37" s="71">
        <f t="shared" si="0"/>
        <v>2871.4944265312733</v>
      </c>
    </row>
    <row r="38" spans="1:12" s="74" customFormat="1" x14ac:dyDescent="0.25">
      <c r="A38" s="65" t="s">
        <v>84</v>
      </c>
      <c r="B38" s="66" t="s">
        <v>155</v>
      </c>
      <c r="C38" s="67" t="s">
        <v>86</v>
      </c>
      <c r="D38" s="68">
        <v>9239</v>
      </c>
      <c r="E38" s="69">
        <f t="shared" si="1"/>
        <v>3.0596390851192326E-2</v>
      </c>
      <c r="F38" s="70">
        <f t="shared" si="2"/>
        <v>2913.2268185032294</v>
      </c>
      <c r="G38" s="71">
        <f t="shared" si="3"/>
        <v>145.66134092516148</v>
      </c>
      <c r="H38" s="71">
        <f t="shared" si="0"/>
        <v>3058.8881594283907</v>
      </c>
    </row>
    <row r="39" spans="1:12" s="74" customFormat="1" x14ac:dyDescent="0.25">
      <c r="A39" s="65" t="s">
        <v>87</v>
      </c>
      <c r="B39" s="66" t="s">
        <v>88</v>
      </c>
      <c r="C39" s="67" t="s">
        <v>89</v>
      </c>
      <c r="D39" s="68">
        <v>4892</v>
      </c>
      <c r="E39" s="69">
        <f t="shared" si="1"/>
        <v>1.6200621717072504E-2</v>
      </c>
      <c r="F39" s="70">
        <f t="shared" si="2"/>
        <v>1542.5376768175993</v>
      </c>
      <c r="G39" s="71">
        <f t="shared" si="3"/>
        <v>77.12688384087997</v>
      </c>
      <c r="H39" s="71">
        <f t="shared" si="0"/>
        <v>1619.6645606584793</v>
      </c>
    </row>
    <row r="40" spans="1:12" s="74" customFormat="1" x14ac:dyDescent="0.25">
      <c r="A40" s="65" t="s">
        <v>90</v>
      </c>
      <c r="B40" s="66" t="s">
        <v>91</v>
      </c>
      <c r="C40" s="67">
        <v>41497649000147</v>
      </c>
      <c r="D40" s="68">
        <v>2526</v>
      </c>
      <c r="E40" s="69">
        <f t="shared" si="1"/>
        <v>8.3652433477770117E-3</v>
      </c>
      <c r="F40" s="70">
        <f t="shared" si="2"/>
        <v>796.49431145569406</v>
      </c>
      <c r="G40" s="71">
        <f t="shared" si="3"/>
        <v>39.824715572784704</v>
      </c>
      <c r="H40" s="71">
        <f t="shared" si="0"/>
        <v>836.31902702847879</v>
      </c>
    </row>
    <row r="41" spans="1:12" s="74" customFormat="1" x14ac:dyDescent="0.25">
      <c r="A41" s="65" t="s">
        <v>92</v>
      </c>
      <c r="B41" s="66" t="s">
        <v>93</v>
      </c>
      <c r="C41" s="67">
        <v>40580071000125</v>
      </c>
      <c r="D41" s="68">
        <v>3600</v>
      </c>
      <c r="E41" s="69">
        <f t="shared" si="1"/>
        <v>1.1921962015834221E-2</v>
      </c>
      <c r="F41" s="70">
        <f t="shared" si="2"/>
        <v>1135.1462871102528</v>
      </c>
      <c r="G41" s="71">
        <f t="shared" si="3"/>
        <v>56.757314355512648</v>
      </c>
      <c r="H41" s="71">
        <f t="shared" si="0"/>
        <v>1191.9036014657654</v>
      </c>
      <c r="I41" s="78" t="s">
        <v>63</v>
      </c>
      <c r="L41" s="74" t="s">
        <v>94</v>
      </c>
    </row>
    <row r="42" spans="1:12" s="74" customFormat="1" x14ac:dyDescent="0.25">
      <c r="A42" s="65" t="s">
        <v>95</v>
      </c>
      <c r="B42" s="66" t="s">
        <v>96</v>
      </c>
      <c r="C42" s="67" t="s">
        <v>97</v>
      </c>
      <c r="D42" s="68">
        <v>3938</v>
      </c>
      <c r="E42" s="69">
        <f t="shared" si="1"/>
        <v>1.3041301782876434E-2</v>
      </c>
      <c r="F42" s="70">
        <f t="shared" si="2"/>
        <v>1241.7239107333821</v>
      </c>
      <c r="G42" s="71">
        <f t="shared" si="3"/>
        <v>62.086195536669109</v>
      </c>
      <c r="H42" s="71">
        <f t="shared" si="0"/>
        <v>1303.8101062700512</v>
      </c>
    </row>
    <row r="43" spans="1:12" s="74" customFormat="1" x14ac:dyDescent="0.25">
      <c r="A43" s="65" t="s">
        <v>98</v>
      </c>
      <c r="B43" s="66" t="s">
        <v>99</v>
      </c>
      <c r="C43" s="67">
        <v>18788190000119</v>
      </c>
      <c r="D43" s="68">
        <v>3707</v>
      </c>
      <c r="E43" s="69">
        <f t="shared" si="1"/>
        <v>1.2276309220193739E-2</v>
      </c>
      <c r="F43" s="70">
        <f t="shared" si="2"/>
        <v>1168.8853573104743</v>
      </c>
      <c r="G43" s="71">
        <f t="shared" si="3"/>
        <v>58.44426786552372</v>
      </c>
      <c r="H43" s="71">
        <f t="shared" si="0"/>
        <v>1227.329625175998</v>
      </c>
    </row>
    <row r="44" spans="1:12" s="74" customFormat="1" x14ac:dyDescent="0.25">
      <c r="A44" s="65" t="s">
        <v>100</v>
      </c>
      <c r="B44" s="66" t="s">
        <v>101</v>
      </c>
      <c r="C44" s="67">
        <v>42109766000159</v>
      </c>
      <c r="D44" s="68">
        <v>5117</v>
      </c>
      <c r="E44" s="69">
        <f t="shared" si="1"/>
        <v>1.694574434306214E-2</v>
      </c>
      <c r="F44" s="70">
        <f t="shared" si="2"/>
        <v>1613.4843197619898</v>
      </c>
      <c r="G44" s="71">
        <f t="shared" si="3"/>
        <v>80.67421598809949</v>
      </c>
      <c r="H44" s="71">
        <f t="shared" si="0"/>
        <v>1694.1585357500894</v>
      </c>
    </row>
    <row r="45" spans="1:12" s="74" customFormat="1" x14ac:dyDescent="0.25">
      <c r="A45" s="65" t="s">
        <v>102</v>
      </c>
      <c r="B45" s="66" t="s">
        <v>99</v>
      </c>
      <c r="C45" s="67">
        <v>18788190000119</v>
      </c>
      <c r="D45" s="68">
        <v>14717</v>
      </c>
      <c r="E45" s="69">
        <f t="shared" si="1"/>
        <v>4.8737643051953397E-2</v>
      </c>
      <c r="F45" s="70">
        <f t="shared" si="2"/>
        <v>4640.5410853893309</v>
      </c>
      <c r="G45" s="71">
        <f t="shared" si="3"/>
        <v>232.02705426946656</v>
      </c>
      <c r="H45" s="71">
        <f t="shared" si="0"/>
        <v>4872.568139658797</v>
      </c>
    </row>
    <row r="46" spans="1:12" s="74" customFormat="1" ht="13.5" customHeight="1" x14ac:dyDescent="0.25">
      <c r="A46" s="65" t="s">
        <v>103</v>
      </c>
      <c r="B46" s="66" t="s">
        <v>104</v>
      </c>
      <c r="C46" s="67">
        <v>32302613000170</v>
      </c>
      <c r="D46" s="68">
        <v>5439</v>
      </c>
      <c r="E46" s="69">
        <f t="shared" si="1"/>
        <v>1.8012097612256202E-2</v>
      </c>
      <c r="F46" s="70">
        <f t="shared" si="2"/>
        <v>1715.0168487757403</v>
      </c>
      <c r="G46" s="71">
        <f t="shared" si="3"/>
        <v>85.750842438787018</v>
      </c>
      <c r="H46" s="71">
        <f t="shared" si="0"/>
        <v>1800.7676912145273</v>
      </c>
    </row>
    <row r="47" spans="1:12" s="74" customFormat="1" x14ac:dyDescent="0.25">
      <c r="A47" s="65" t="s">
        <v>105</v>
      </c>
      <c r="B47" s="66" t="s">
        <v>106</v>
      </c>
      <c r="C47" s="67">
        <v>28616552000148</v>
      </c>
      <c r="D47" s="68">
        <v>4123.71</v>
      </c>
      <c r="E47" s="69">
        <f t="shared" si="1"/>
        <v>1.3656309440087704E-2</v>
      </c>
      <c r="F47" s="70">
        <f t="shared" si="2"/>
        <v>1300.2816932276169</v>
      </c>
      <c r="G47" s="71">
        <f t="shared" si="3"/>
        <v>65.014084661380849</v>
      </c>
      <c r="H47" s="71">
        <f t="shared" si="0"/>
        <v>1365.2957778889977</v>
      </c>
    </row>
    <row r="48" spans="1:12" s="74" customFormat="1" x14ac:dyDescent="0.25">
      <c r="A48" s="65" t="s">
        <v>107</v>
      </c>
      <c r="B48" s="66" t="s">
        <v>108</v>
      </c>
      <c r="C48" s="67">
        <v>42579914000107</v>
      </c>
      <c r="D48" s="68">
        <v>4986.3599999999997</v>
      </c>
      <c r="E48" s="69">
        <f t="shared" si="1"/>
        <v>1.6513109588131979E-2</v>
      </c>
      <c r="F48" s="70">
        <f t="shared" si="2"/>
        <v>1572.291122276411</v>
      </c>
      <c r="G48" s="71">
        <f t="shared" si="3"/>
        <v>78.614556113820555</v>
      </c>
      <c r="H48" s="71">
        <f t="shared" si="0"/>
        <v>1650.9056783902315</v>
      </c>
    </row>
    <row r="49" spans="1:8" s="74" customFormat="1" x14ac:dyDescent="0.25">
      <c r="A49" s="65" t="s">
        <v>109</v>
      </c>
      <c r="B49" s="66" t="s">
        <v>110</v>
      </c>
      <c r="C49" s="67" t="s">
        <v>111</v>
      </c>
      <c r="D49" s="68">
        <v>7462</v>
      </c>
      <c r="E49" s="69">
        <f t="shared" si="1"/>
        <v>2.4711577933931934E-2</v>
      </c>
      <c r="F49" s="70">
        <f t="shared" si="2"/>
        <v>2352.9059984490855</v>
      </c>
      <c r="G49" s="71">
        <f t="shared" si="3"/>
        <v>117.64529992245429</v>
      </c>
      <c r="H49" s="71">
        <f t="shared" si="0"/>
        <v>2470.5512983715398</v>
      </c>
    </row>
    <row r="50" spans="1:8" s="74" customFormat="1" x14ac:dyDescent="0.25">
      <c r="A50" s="65" t="s">
        <v>112</v>
      </c>
      <c r="B50" s="66" t="s">
        <v>113</v>
      </c>
      <c r="C50" s="67" t="s">
        <v>114</v>
      </c>
      <c r="D50" s="68">
        <v>5525</v>
      </c>
      <c r="E50" s="69">
        <f t="shared" si="1"/>
        <v>1.8296900038190018E-2</v>
      </c>
      <c r="F50" s="70">
        <f t="shared" si="2"/>
        <v>1742.1342323011518</v>
      </c>
      <c r="G50" s="71">
        <f t="shared" si="3"/>
        <v>87.106711615057591</v>
      </c>
      <c r="H50" s="71">
        <f t="shared" si="0"/>
        <v>1829.2409439162093</v>
      </c>
    </row>
    <row r="51" spans="1:8" s="74" customFormat="1" x14ac:dyDescent="0.25">
      <c r="A51" s="65" t="s">
        <v>115</v>
      </c>
      <c r="B51" s="66" t="s">
        <v>116</v>
      </c>
      <c r="C51" s="67">
        <v>26480299000112</v>
      </c>
      <c r="D51" s="68"/>
      <c r="E51" s="69">
        <f t="shared" si="1"/>
        <v>0</v>
      </c>
      <c r="F51" s="70">
        <f t="shared" si="2"/>
        <v>0</v>
      </c>
      <c r="G51" s="71">
        <f t="shared" si="3"/>
        <v>0</v>
      </c>
      <c r="H51" s="71">
        <f t="shared" si="0"/>
        <v>0</v>
      </c>
    </row>
    <row r="52" spans="1:8" s="74" customFormat="1" x14ac:dyDescent="0.25">
      <c r="A52" s="65" t="s">
        <v>117</v>
      </c>
      <c r="B52" s="66" t="s">
        <v>118</v>
      </c>
      <c r="C52" s="67" t="s">
        <v>119</v>
      </c>
      <c r="D52" s="68">
        <v>4943</v>
      </c>
      <c r="E52" s="69">
        <f t="shared" si="1"/>
        <v>1.6369516178963487E-2</v>
      </c>
      <c r="F52" s="70">
        <f t="shared" si="2"/>
        <v>1558.6189158849943</v>
      </c>
      <c r="G52" s="71">
        <f t="shared" si="3"/>
        <v>77.930945794249723</v>
      </c>
      <c r="H52" s="71">
        <f t="shared" si="0"/>
        <v>1636.549861679244</v>
      </c>
    </row>
    <row r="53" spans="1:8" s="74" customFormat="1" x14ac:dyDescent="0.25">
      <c r="A53" s="65" t="s">
        <v>120</v>
      </c>
      <c r="B53" s="66" t="s">
        <v>121</v>
      </c>
      <c r="C53" s="67">
        <v>12997366000166</v>
      </c>
      <c r="D53" s="68">
        <v>5160</v>
      </c>
      <c r="E53" s="69">
        <f t="shared" si="1"/>
        <v>1.7088145556029052E-2</v>
      </c>
      <c r="F53" s="70">
        <f t="shared" si="2"/>
        <v>1627.0430115246959</v>
      </c>
      <c r="G53" s="71">
        <f t="shared" si="3"/>
        <v>81.352150576234806</v>
      </c>
      <c r="H53" s="71">
        <f t="shared" si="0"/>
        <v>1708.3951621009307</v>
      </c>
    </row>
    <row r="54" spans="1:8" s="74" customFormat="1" ht="16.5" customHeight="1" x14ac:dyDescent="0.25">
      <c r="A54" s="65" t="s">
        <v>122</v>
      </c>
      <c r="B54" s="66" t="s">
        <v>123</v>
      </c>
      <c r="C54" s="67" t="s">
        <v>124</v>
      </c>
      <c r="D54" s="68">
        <v>6586</v>
      </c>
      <c r="E54" s="69">
        <f t="shared" si="1"/>
        <v>2.1810567176745607E-2</v>
      </c>
      <c r="F54" s="70">
        <f t="shared" si="2"/>
        <v>2076.6870685855906</v>
      </c>
      <c r="G54" s="71">
        <f t="shared" si="3"/>
        <v>103.83435342927953</v>
      </c>
      <c r="H54" s="71">
        <f t="shared" si="0"/>
        <v>2180.52142201487</v>
      </c>
    </row>
    <row r="55" spans="1:8" s="74" customFormat="1" x14ac:dyDescent="0.25">
      <c r="A55" s="65" t="s">
        <v>125</v>
      </c>
      <c r="B55" s="66" t="s">
        <v>126</v>
      </c>
      <c r="C55" s="67">
        <v>11884518000151</v>
      </c>
      <c r="D55" s="68">
        <v>5644</v>
      </c>
      <c r="E55" s="69">
        <f t="shared" si="1"/>
        <v>1.8690987115935653E-2</v>
      </c>
      <c r="F55" s="70">
        <f t="shared" si="2"/>
        <v>1779.6571234584076</v>
      </c>
      <c r="G55" s="71">
        <f t="shared" si="3"/>
        <v>88.982856172920378</v>
      </c>
      <c r="H55" s="71">
        <f t="shared" si="0"/>
        <v>1868.6399796313281</v>
      </c>
    </row>
    <row r="56" spans="1:8" s="74" customFormat="1" x14ac:dyDescent="0.25">
      <c r="A56" s="65" t="s">
        <v>127</v>
      </c>
      <c r="B56" s="66" t="s">
        <v>128</v>
      </c>
      <c r="C56" s="67">
        <v>36188051000136</v>
      </c>
      <c r="D56" s="68">
        <v>6936</v>
      </c>
      <c r="E56" s="69">
        <f t="shared" si="1"/>
        <v>2.2969646817173933E-2</v>
      </c>
      <c r="F56" s="70">
        <f t="shared" si="2"/>
        <v>2187.0485131657538</v>
      </c>
      <c r="G56" s="71">
        <f t="shared" si="3"/>
        <v>109.3524256582877</v>
      </c>
      <c r="H56" s="71">
        <f t="shared" si="0"/>
        <v>2296.4009388240415</v>
      </c>
    </row>
    <row r="57" spans="1:8" s="74" customFormat="1" x14ac:dyDescent="0.25">
      <c r="A57" s="65" t="s">
        <v>129</v>
      </c>
      <c r="B57" s="66" t="s">
        <v>130</v>
      </c>
      <c r="C57" s="67" t="s">
        <v>131</v>
      </c>
      <c r="D57" s="68">
        <f>7425*40%</f>
        <v>2970</v>
      </c>
      <c r="E57" s="69">
        <f t="shared" si="1"/>
        <v>9.8356186630632319E-3</v>
      </c>
      <c r="F57" s="70">
        <f t="shared" si="2"/>
        <v>936.49568686595853</v>
      </c>
      <c r="G57" s="71">
        <f t="shared" si="3"/>
        <v>46.824784343297928</v>
      </c>
      <c r="H57" s="71">
        <f t="shared" si="0"/>
        <v>983.32047120925643</v>
      </c>
    </row>
    <row r="58" spans="1:8" s="74" customFormat="1" x14ac:dyDescent="0.25">
      <c r="A58" s="65" t="s">
        <v>132</v>
      </c>
      <c r="B58" s="66" t="s">
        <v>133</v>
      </c>
      <c r="C58" s="67">
        <v>18741082000190</v>
      </c>
      <c r="D58" s="68">
        <v>12183</v>
      </c>
      <c r="E58" s="69">
        <f t="shared" si="1"/>
        <v>4.0345906455252309E-2</v>
      </c>
      <c r="F58" s="70">
        <f t="shared" si="2"/>
        <v>3841.5242266289474</v>
      </c>
      <c r="G58" s="71">
        <f t="shared" si="3"/>
        <v>192.07621133144738</v>
      </c>
      <c r="H58" s="71">
        <f t="shared" si="0"/>
        <v>4033.6004379603946</v>
      </c>
    </row>
    <row r="59" spans="1:8" s="74" customFormat="1" x14ac:dyDescent="0.25">
      <c r="A59" s="65" t="s">
        <v>134</v>
      </c>
      <c r="B59" s="66" t="s">
        <v>135</v>
      </c>
      <c r="C59" s="67" t="s">
        <v>136</v>
      </c>
      <c r="D59" s="68">
        <v>4814</v>
      </c>
      <c r="E59" s="69">
        <f t="shared" si="1"/>
        <v>1.5942312540062762E-2</v>
      </c>
      <c r="F59" s="70">
        <f t="shared" si="2"/>
        <v>1517.942840596877</v>
      </c>
      <c r="G59" s="71">
        <f t="shared" si="3"/>
        <v>75.897142029843849</v>
      </c>
      <c r="H59" s="71">
        <f t="shared" si="0"/>
        <v>1593.8399826267209</v>
      </c>
    </row>
    <row r="60" spans="1:8" s="74" customFormat="1" x14ac:dyDescent="0.25">
      <c r="A60" s="65" t="s">
        <v>137</v>
      </c>
      <c r="B60" s="66" t="s">
        <v>138</v>
      </c>
      <c r="C60" s="67" t="s">
        <v>139</v>
      </c>
      <c r="D60" s="68">
        <v>3476.86</v>
      </c>
      <c r="E60" s="69">
        <f t="shared" si="1"/>
        <v>1.1514164681770382E-2</v>
      </c>
      <c r="F60" s="70">
        <f t="shared" si="2"/>
        <v>1096.3179777228206</v>
      </c>
      <c r="G60" s="71">
        <f t="shared" si="3"/>
        <v>54.815898886141035</v>
      </c>
      <c r="H60" s="71">
        <f t="shared" si="0"/>
        <v>1151.1338766089616</v>
      </c>
    </row>
    <row r="61" spans="1:8" s="74" customFormat="1" x14ac:dyDescent="0.25">
      <c r="A61" s="65" t="s">
        <v>140</v>
      </c>
      <c r="B61" s="73" t="s">
        <v>141</v>
      </c>
      <c r="C61" s="67">
        <v>11884518000151</v>
      </c>
      <c r="D61" s="68">
        <f>81377.44-14717-3314-9239+11302+4126.33-9403</f>
        <v>60132.770000000004</v>
      </c>
      <c r="E61" s="69">
        <f t="shared" si="1"/>
        <v>0.19913905551302657</v>
      </c>
      <c r="F61" s="70">
        <f t="shared" si="2"/>
        <v>18960.969610876335</v>
      </c>
      <c r="G61" s="71">
        <f t="shared" si="3"/>
        <v>948.04848054381682</v>
      </c>
      <c r="H61" s="71">
        <f t="shared" si="0"/>
        <v>19909.018091420152</v>
      </c>
    </row>
    <row r="62" spans="1:8" customFormat="1" x14ac:dyDescent="0.25">
      <c r="A62" s="34"/>
      <c r="B62" s="35"/>
      <c r="C62" s="36" t="s">
        <v>142</v>
      </c>
      <c r="D62" s="37">
        <f>SUM(D20:D61)</f>
        <v>301963.71999999997</v>
      </c>
      <c r="E62" s="38">
        <f>SUM(E20:E61)</f>
        <v>1</v>
      </c>
      <c r="F62" s="39">
        <f>SUM(F20:F61)</f>
        <v>95214.721000000005</v>
      </c>
      <c r="G62" s="39">
        <f>SUM(G20:G61)</f>
        <v>4760.7360499999995</v>
      </c>
      <c r="H62" s="40">
        <f>SUM(H20:H61)</f>
        <v>99975.457050000012</v>
      </c>
    </row>
    <row r="63" spans="1:8" customFormat="1" x14ac:dyDescent="0.25">
      <c r="F63" s="41"/>
    </row>
    <row r="64" spans="1:8" customFormat="1" x14ac:dyDescent="0.25">
      <c r="F64" s="41"/>
    </row>
    <row r="65" spans="4:8" customFormat="1" x14ac:dyDescent="0.25">
      <c r="D65" s="44"/>
      <c r="E65" s="41"/>
      <c r="H65" s="42"/>
    </row>
    <row r="66" spans="4:8" customFormat="1" x14ac:dyDescent="0.25">
      <c r="E66" s="41"/>
    </row>
    <row r="67" spans="4:8" customFormat="1" x14ac:dyDescent="0.25"/>
    <row r="68" spans="4:8" customFormat="1" x14ac:dyDescent="0.25"/>
    <row r="69" spans="4:8" customFormat="1" x14ac:dyDescent="0.25"/>
    <row r="70" spans="4:8" customFormat="1" x14ac:dyDescent="0.25"/>
    <row r="71" spans="4:8" customFormat="1" x14ac:dyDescent="0.25"/>
    <row r="72" spans="4:8" customFormat="1" x14ac:dyDescent="0.25"/>
    <row r="73" spans="4:8" customFormat="1" x14ac:dyDescent="0.25"/>
    <row r="74" spans="4:8" customFormat="1" x14ac:dyDescent="0.25"/>
    <row r="75" spans="4:8" customFormat="1" x14ac:dyDescent="0.25"/>
    <row r="76" spans="4:8" customFormat="1" x14ac:dyDescent="0.25"/>
    <row r="77" spans="4:8" customFormat="1" x14ac:dyDescent="0.25"/>
    <row r="78" spans="4:8" customFormat="1" x14ac:dyDescent="0.25"/>
    <row r="79" spans="4:8" customFormat="1" x14ac:dyDescent="0.25"/>
    <row r="80" spans="4:8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spans="1:8" customFormat="1" x14ac:dyDescent="0.25"/>
    <row r="146" spans="1:8" customFormat="1" x14ac:dyDescent="0.25">
      <c r="A146" s="45"/>
      <c r="B146" s="45"/>
      <c r="C146" s="45"/>
      <c r="D146" s="45"/>
      <c r="E146" s="45"/>
    </row>
    <row r="147" spans="1:8" x14ac:dyDescent="0.25">
      <c r="F147"/>
      <c r="G147"/>
      <c r="H147"/>
    </row>
    <row r="148" spans="1:8" x14ac:dyDescent="0.25">
      <c r="F148"/>
      <c r="G148"/>
      <c r="H148"/>
    </row>
    <row r="149" spans="1:8" x14ac:dyDescent="0.25">
      <c r="F149"/>
      <c r="G149"/>
      <c r="H149"/>
    </row>
    <row r="150" spans="1:8" x14ac:dyDescent="0.25">
      <c r="F150"/>
      <c r="G150"/>
      <c r="H150"/>
    </row>
    <row r="151" spans="1:8" x14ac:dyDescent="0.25">
      <c r="F151"/>
      <c r="G151"/>
      <c r="H151"/>
    </row>
    <row r="152" spans="1:8" x14ac:dyDescent="0.25">
      <c r="F152"/>
      <c r="G152"/>
      <c r="H152"/>
    </row>
    <row r="153" spans="1:8" x14ac:dyDescent="0.25">
      <c r="F153"/>
      <c r="G153"/>
      <c r="H153"/>
    </row>
    <row r="154" spans="1:8" x14ac:dyDescent="0.25">
      <c r="F154"/>
      <c r="G154"/>
      <c r="H154"/>
    </row>
    <row r="155" spans="1:8" x14ac:dyDescent="0.25">
      <c r="F155"/>
      <c r="G155"/>
      <c r="H155"/>
    </row>
    <row r="156" spans="1:8" x14ac:dyDescent="0.25">
      <c r="F156"/>
      <c r="G156"/>
      <c r="H156"/>
    </row>
    <row r="157" spans="1:8" x14ac:dyDescent="0.25">
      <c r="F157"/>
      <c r="G157"/>
      <c r="H157"/>
    </row>
    <row r="158" spans="1:8" x14ac:dyDescent="0.25">
      <c r="F158"/>
      <c r="G158"/>
      <c r="H158"/>
    </row>
    <row r="159" spans="1:8" x14ac:dyDescent="0.25">
      <c r="F159"/>
      <c r="G159"/>
      <c r="H159"/>
    </row>
    <row r="160" spans="1:8" x14ac:dyDescent="0.25">
      <c r="F160"/>
      <c r="G160"/>
      <c r="H160"/>
    </row>
    <row r="161" spans="6:8" x14ac:dyDescent="0.25">
      <c r="F161"/>
      <c r="G161"/>
      <c r="H161"/>
    </row>
    <row r="162" spans="6:8" x14ac:dyDescent="0.25">
      <c r="F162"/>
      <c r="G162"/>
      <c r="H162"/>
    </row>
    <row r="163" spans="6:8" x14ac:dyDescent="0.25">
      <c r="F163"/>
      <c r="G163"/>
      <c r="H163"/>
    </row>
    <row r="164" spans="6:8" x14ac:dyDescent="0.25">
      <c r="F164"/>
      <c r="G164"/>
      <c r="H164"/>
    </row>
    <row r="165" spans="6:8" x14ac:dyDescent="0.25">
      <c r="F165"/>
      <c r="G165"/>
      <c r="H165"/>
    </row>
    <row r="166" spans="6:8" x14ac:dyDescent="0.25">
      <c r="F166"/>
      <c r="G166"/>
      <c r="H166"/>
    </row>
    <row r="167" spans="6:8" x14ac:dyDescent="0.25">
      <c r="F167"/>
      <c r="G167"/>
      <c r="H167"/>
    </row>
    <row r="168" spans="6:8" x14ac:dyDescent="0.25">
      <c r="F168"/>
      <c r="G168"/>
      <c r="H168"/>
    </row>
    <row r="169" spans="6:8" x14ac:dyDescent="0.25">
      <c r="F169"/>
      <c r="G169"/>
      <c r="H169"/>
    </row>
    <row r="170" spans="6:8" x14ac:dyDescent="0.25">
      <c r="F170"/>
      <c r="G170"/>
      <c r="H170"/>
    </row>
    <row r="171" spans="6:8" x14ac:dyDescent="0.25">
      <c r="F171"/>
      <c r="G171"/>
      <c r="H171"/>
    </row>
    <row r="172" spans="6:8" x14ac:dyDescent="0.25">
      <c r="F172"/>
      <c r="G172"/>
      <c r="H172"/>
    </row>
    <row r="173" spans="6:8" x14ac:dyDescent="0.25">
      <c r="F173"/>
      <c r="G173"/>
      <c r="H173"/>
    </row>
    <row r="174" spans="6:8" x14ac:dyDescent="0.25">
      <c r="F174"/>
      <c r="G174"/>
      <c r="H174"/>
    </row>
    <row r="175" spans="6:8" x14ac:dyDescent="0.25">
      <c r="F175"/>
      <c r="G175"/>
      <c r="H175"/>
    </row>
    <row r="176" spans="6:8" x14ac:dyDescent="0.25">
      <c r="F176"/>
      <c r="G176"/>
      <c r="H176"/>
    </row>
    <row r="177" spans="6:8" x14ac:dyDescent="0.25">
      <c r="F177"/>
      <c r="G177"/>
      <c r="H177"/>
    </row>
    <row r="178" spans="6:8" x14ac:dyDescent="0.25">
      <c r="F178"/>
      <c r="G178"/>
      <c r="H178"/>
    </row>
    <row r="179" spans="6:8" x14ac:dyDescent="0.25">
      <c r="F179"/>
      <c r="G179"/>
      <c r="H179"/>
    </row>
    <row r="180" spans="6:8" x14ac:dyDescent="0.25">
      <c r="F180"/>
      <c r="G180"/>
      <c r="H180"/>
    </row>
    <row r="181" spans="6:8" x14ac:dyDescent="0.25">
      <c r="F181"/>
      <c r="G181"/>
      <c r="H181"/>
    </row>
    <row r="182" spans="6:8" x14ac:dyDescent="0.25">
      <c r="F182"/>
      <c r="G182"/>
      <c r="H182"/>
    </row>
    <row r="183" spans="6:8" x14ac:dyDescent="0.25">
      <c r="F183"/>
      <c r="G183"/>
      <c r="H183"/>
    </row>
    <row r="184" spans="6:8" x14ac:dyDescent="0.25">
      <c r="F184"/>
      <c r="G184"/>
      <c r="H184"/>
    </row>
    <row r="185" spans="6:8" x14ac:dyDescent="0.25">
      <c r="F185"/>
      <c r="G185"/>
      <c r="H185"/>
    </row>
    <row r="186" spans="6:8" x14ac:dyDescent="0.25">
      <c r="F186"/>
      <c r="G186"/>
      <c r="H186"/>
    </row>
    <row r="187" spans="6:8" x14ac:dyDescent="0.25">
      <c r="F187"/>
      <c r="G187"/>
      <c r="H187"/>
    </row>
    <row r="188" spans="6:8" x14ac:dyDescent="0.25">
      <c r="F188"/>
      <c r="G188"/>
      <c r="H188"/>
    </row>
    <row r="189" spans="6:8" x14ac:dyDescent="0.25">
      <c r="F189"/>
      <c r="G189"/>
      <c r="H189"/>
    </row>
    <row r="190" spans="6:8" x14ac:dyDescent="0.25">
      <c r="F190"/>
      <c r="G190"/>
      <c r="H190"/>
    </row>
    <row r="191" spans="6:8" x14ac:dyDescent="0.25">
      <c r="F191"/>
      <c r="G191"/>
      <c r="H191"/>
    </row>
    <row r="192" spans="6:8" x14ac:dyDescent="0.25">
      <c r="F192"/>
      <c r="G192"/>
      <c r="H192"/>
    </row>
    <row r="193" spans="6:8" x14ac:dyDescent="0.25">
      <c r="F193"/>
      <c r="G193"/>
      <c r="H193"/>
    </row>
    <row r="194" spans="6:8" x14ac:dyDescent="0.25">
      <c r="F194"/>
      <c r="G194"/>
      <c r="H194"/>
    </row>
    <row r="195" spans="6:8" x14ac:dyDescent="0.25">
      <c r="F195"/>
      <c r="G195"/>
      <c r="H195"/>
    </row>
    <row r="196" spans="6:8" x14ac:dyDescent="0.25">
      <c r="F196"/>
      <c r="G196"/>
      <c r="H196"/>
    </row>
    <row r="197" spans="6:8" x14ac:dyDescent="0.25">
      <c r="F197"/>
      <c r="G197"/>
      <c r="H197"/>
    </row>
    <row r="198" spans="6:8" x14ac:dyDescent="0.25">
      <c r="F198"/>
      <c r="G198"/>
      <c r="H198"/>
    </row>
    <row r="199" spans="6:8" x14ac:dyDescent="0.25">
      <c r="F199"/>
      <c r="G199"/>
      <c r="H199"/>
    </row>
    <row r="200" spans="6:8" x14ac:dyDescent="0.25">
      <c r="F200"/>
      <c r="G200"/>
      <c r="H200"/>
    </row>
    <row r="201" spans="6:8" x14ac:dyDescent="0.25">
      <c r="F201"/>
      <c r="G201"/>
      <c r="H201"/>
    </row>
    <row r="202" spans="6:8" x14ac:dyDescent="0.25">
      <c r="F202"/>
      <c r="G202"/>
      <c r="H202"/>
    </row>
    <row r="203" spans="6:8" x14ac:dyDescent="0.25">
      <c r="F203"/>
      <c r="G203"/>
      <c r="H203"/>
    </row>
    <row r="204" spans="6:8" x14ac:dyDescent="0.25">
      <c r="F204"/>
      <c r="G204"/>
      <c r="H204"/>
    </row>
    <row r="205" spans="6:8" x14ac:dyDescent="0.25">
      <c r="F205"/>
      <c r="G205"/>
      <c r="H205"/>
    </row>
    <row r="206" spans="6:8" x14ac:dyDescent="0.25">
      <c r="F206"/>
      <c r="G206"/>
      <c r="H206"/>
    </row>
    <row r="207" spans="6:8" x14ac:dyDescent="0.25">
      <c r="F207"/>
      <c r="G207"/>
      <c r="H207"/>
    </row>
    <row r="208" spans="6:8" x14ac:dyDescent="0.25">
      <c r="F208"/>
      <c r="G208"/>
      <c r="H208"/>
    </row>
    <row r="209" spans="6:8" x14ac:dyDescent="0.25">
      <c r="F209"/>
      <c r="G209"/>
      <c r="H209"/>
    </row>
    <row r="210" spans="6:8" x14ac:dyDescent="0.25">
      <c r="F210"/>
      <c r="G210"/>
      <c r="H210"/>
    </row>
    <row r="211" spans="6:8" x14ac:dyDescent="0.25">
      <c r="F211"/>
      <c r="G211"/>
      <c r="H211"/>
    </row>
    <row r="212" spans="6:8" x14ac:dyDescent="0.25">
      <c r="F212"/>
      <c r="G212"/>
      <c r="H212"/>
    </row>
    <row r="213" spans="6:8" x14ac:dyDescent="0.25">
      <c r="F213"/>
      <c r="G213"/>
      <c r="H213"/>
    </row>
    <row r="214" spans="6:8" x14ac:dyDescent="0.25">
      <c r="F214"/>
      <c r="G214"/>
      <c r="H214"/>
    </row>
    <row r="215" spans="6:8" x14ac:dyDescent="0.25">
      <c r="F215"/>
      <c r="G215"/>
      <c r="H215"/>
    </row>
    <row r="216" spans="6:8" x14ac:dyDescent="0.25">
      <c r="F216"/>
      <c r="G216"/>
      <c r="H216"/>
    </row>
    <row r="217" spans="6:8" x14ac:dyDescent="0.25">
      <c r="F217"/>
      <c r="G217"/>
      <c r="H217"/>
    </row>
    <row r="218" spans="6:8" x14ac:dyDescent="0.25">
      <c r="F218"/>
      <c r="G218"/>
      <c r="H218"/>
    </row>
    <row r="219" spans="6:8" x14ac:dyDescent="0.25">
      <c r="F219"/>
      <c r="G219"/>
      <c r="H219"/>
    </row>
    <row r="220" spans="6:8" x14ac:dyDescent="0.25">
      <c r="F220"/>
      <c r="G220"/>
      <c r="H220"/>
    </row>
    <row r="221" spans="6:8" x14ac:dyDescent="0.25">
      <c r="F221"/>
      <c r="G221"/>
      <c r="H221"/>
    </row>
    <row r="222" spans="6:8" x14ac:dyDescent="0.25">
      <c r="F222"/>
      <c r="G222"/>
      <c r="H222"/>
    </row>
    <row r="223" spans="6:8" x14ac:dyDescent="0.25">
      <c r="F223"/>
      <c r="G223"/>
      <c r="H223"/>
    </row>
    <row r="224" spans="6:8" x14ac:dyDescent="0.25">
      <c r="F224"/>
      <c r="G224"/>
      <c r="H224"/>
    </row>
    <row r="225" spans="6:8" x14ac:dyDescent="0.25">
      <c r="F225"/>
      <c r="G225"/>
      <c r="H225"/>
    </row>
    <row r="226" spans="6:8" x14ac:dyDescent="0.25">
      <c r="F226"/>
      <c r="G226"/>
      <c r="H226"/>
    </row>
    <row r="227" spans="6:8" x14ac:dyDescent="0.25">
      <c r="F227"/>
      <c r="G227"/>
      <c r="H227"/>
    </row>
    <row r="228" spans="6:8" x14ac:dyDescent="0.25">
      <c r="G228"/>
      <c r="H228"/>
    </row>
  </sheetData>
  <mergeCells count="1">
    <mergeCell ref="B1:G1"/>
  </mergeCells>
  <pageMargins left="0.511811024" right="0.511811024" top="0.78740157499999996" bottom="0.78740157499999996" header="0.31496062000000002" footer="0.3149606200000000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43474-DDD1-4E6B-8A55-B1E402C4C254}">
  <dimension ref="A1:L233"/>
  <sheetViews>
    <sheetView workbookViewId="0">
      <selection activeCell="B18" sqref="B18"/>
    </sheetView>
  </sheetViews>
  <sheetFormatPr defaultColWidth="9.140625" defaultRowHeight="15" x14ac:dyDescent="0.25"/>
  <cols>
    <col min="1" max="1" width="29.5703125" style="45" customWidth="1"/>
    <col min="2" max="2" width="45.28515625" style="45" customWidth="1"/>
    <col min="3" max="3" width="29.7109375" style="45" customWidth="1"/>
    <col min="4" max="4" width="21.42578125" style="45" customWidth="1"/>
    <col min="5" max="5" width="17.42578125" style="45" customWidth="1"/>
    <col min="6" max="6" width="16.42578125" style="45" customWidth="1"/>
    <col min="7" max="7" width="17.140625" style="45" customWidth="1"/>
    <col min="8" max="8" width="16.85546875" style="45" bestFit="1" customWidth="1"/>
    <col min="9" max="16384" width="9.140625" style="45"/>
  </cols>
  <sheetData>
    <row r="1" spans="1:8" customFormat="1" ht="21.75" customHeight="1" x14ac:dyDescent="0.25">
      <c r="A1" s="46"/>
      <c r="B1" s="112" t="s">
        <v>0</v>
      </c>
      <c r="C1" s="113"/>
      <c r="D1" s="113"/>
      <c r="E1" s="113"/>
      <c r="F1" s="113"/>
      <c r="G1" s="114"/>
      <c r="H1" s="47"/>
    </row>
    <row r="2" spans="1:8" customFormat="1" ht="30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3"/>
      <c r="F2" s="4" t="s">
        <v>5</v>
      </c>
      <c r="G2" s="5"/>
      <c r="H2" s="6"/>
    </row>
    <row r="3" spans="1:8" customFormat="1" ht="30.6" customHeight="1" x14ac:dyDescent="0.25">
      <c r="A3" s="7">
        <v>1</v>
      </c>
      <c r="B3" s="8" t="s">
        <v>6</v>
      </c>
      <c r="C3" s="8"/>
      <c r="D3" s="9">
        <v>45717</v>
      </c>
      <c r="E3" s="9"/>
      <c r="F3" s="10">
        <f>532.69+550</f>
        <v>1082.69</v>
      </c>
      <c r="G3" s="5"/>
      <c r="H3" s="6"/>
    </row>
    <row r="4" spans="1:8" customFormat="1" ht="30.6" customHeight="1" x14ac:dyDescent="0.25">
      <c r="A4" s="7">
        <v>2</v>
      </c>
      <c r="B4" s="8" t="s">
        <v>8</v>
      </c>
      <c r="C4" s="8" t="s">
        <v>9</v>
      </c>
      <c r="D4" s="9">
        <v>45717</v>
      </c>
      <c r="E4" s="9"/>
      <c r="F4" s="10">
        <v>39590</v>
      </c>
      <c r="G4" s="5"/>
      <c r="H4" s="11"/>
    </row>
    <row r="5" spans="1:8" customFormat="1" ht="30.6" customHeight="1" x14ac:dyDescent="0.25">
      <c r="A5" s="7">
        <v>3</v>
      </c>
      <c r="B5" s="8" t="s">
        <v>10</v>
      </c>
      <c r="C5" s="12" t="s">
        <v>11</v>
      </c>
      <c r="D5" s="9">
        <v>45717</v>
      </c>
      <c r="E5" s="9"/>
      <c r="F5" s="10">
        <f>(38676.1*7%)+38676.1</f>
        <v>41383.426999999996</v>
      </c>
      <c r="G5" s="5"/>
      <c r="H5" s="11"/>
    </row>
    <row r="6" spans="1:8" customFormat="1" ht="30.6" customHeight="1" x14ac:dyDescent="0.25">
      <c r="A6" s="7">
        <v>4</v>
      </c>
      <c r="B6" s="8" t="s">
        <v>156</v>
      </c>
      <c r="C6" s="12" t="s">
        <v>11</v>
      </c>
      <c r="D6" s="9">
        <v>45717</v>
      </c>
      <c r="E6" s="9"/>
      <c r="F6" s="10">
        <f>(38676.1*7%)*2</f>
        <v>5414.6540000000005</v>
      </c>
      <c r="G6" s="5"/>
      <c r="H6" s="11"/>
    </row>
    <row r="7" spans="1:8" customFormat="1" ht="30.6" customHeight="1" x14ac:dyDescent="0.25">
      <c r="A7" s="7">
        <v>5</v>
      </c>
      <c r="B7" s="8" t="s">
        <v>12</v>
      </c>
      <c r="C7" s="8"/>
      <c r="D7" s="9">
        <v>45717</v>
      </c>
      <c r="E7" s="9"/>
      <c r="F7" s="10">
        <v>408.39</v>
      </c>
      <c r="G7" s="5"/>
      <c r="H7" s="6"/>
    </row>
    <row r="8" spans="1:8" customFormat="1" ht="30.6" customHeight="1" x14ac:dyDescent="0.25">
      <c r="A8" s="7">
        <v>6</v>
      </c>
      <c r="B8" s="8" t="s">
        <v>13</v>
      </c>
      <c r="C8" s="8" t="s">
        <v>14</v>
      </c>
      <c r="D8" s="9">
        <v>45717</v>
      </c>
      <c r="E8" s="9"/>
      <c r="F8" s="13">
        <v>1518</v>
      </c>
      <c r="G8" s="5"/>
      <c r="H8" s="6"/>
    </row>
    <row r="9" spans="1:8" customFormat="1" ht="30.6" customHeight="1" x14ac:dyDescent="0.25">
      <c r="A9" s="7">
        <v>7</v>
      </c>
      <c r="B9" s="8" t="s">
        <v>15</v>
      </c>
      <c r="C9" s="8" t="s">
        <v>16</v>
      </c>
      <c r="D9" s="9">
        <v>45717</v>
      </c>
      <c r="E9" s="9"/>
      <c r="F9" s="13">
        <v>2500</v>
      </c>
      <c r="G9" s="5"/>
      <c r="H9" s="6"/>
    </row>
    <row r="10" spans="1:8" customFormat="1" ht="34.5" customHeight="1" x14ac:dyDescent="0.25">
      <c r="A10" s="7">
        <v>8</v>
      </c>
      <c r="B10" s="14" t="s">
        <v>17</v>
      </c>
      <c r="C10" s="12" t="s">
        <v>18</v>
      </c>
      <c r="D10" s="9">
        <v>45717</v>
      </c>
      <c r="E10" s="9"/>
      <c r="F10" s="13">
        <v>880</v>
      </c>
      <c r="G10" s="5"/>
      <c r="H10" s="6"/>
    </row>
    <row r="11" spans="1:8" customFormat="1" ht="30.6" customHeight="1" x14ac:dyDescent="0.25">
      <c r="A11" s="7">
        <v>9</v>
      </c>
      <c r="B11" s="14" t="s">
        <v>19</v>
      </c>
      <c r="C11" s="14" t="s">
        <v>20</v>
      </c>
      <c r="D11" s="9">
        <v>45717</v>
      </c>
      <c r="E11" s="9"/>
      <c r="F11" s="13">
        <v>65.25</v>
      </c>
      <c r="G11" s="5"/>
      <c r="H11" s="6"/>
    </row>
    <row r="12" spans="1:8" customFormat="1" ht="30.6" customHeight="1" x14ac:dyDescent="0.25">
      <c r="A12" s="7">
        <v>10</v>
      </c>
      <c r="B12" s="14" t="s">
        <v>149</v>
      </c>
      <c r="C12" s="14" t="s">
        <v>150</v>
      </c>
      <c r="D12" s="9">
        <v>45717</v>
      </c>
      <c r="E12" s="9"/>
      <c r="F12" s="13">
        <v>149.9</v>
      </c>
      <c r="G12" s="5"/>
      <c r="H12" s="15"/>
    </row>
    <row r="13" spans="1:8" customFormat="1" ht="30.6" customHeight="1" x14ac:dyDescent="0.25">
      <c r="A13" s="7">
        <v>11</v>
      </c>
      <c r="B13" s="14" t="s">
        <v>21</v>
      </c>
      <c r="C13" s="12" t="s">
        <v>22</v>
      </c>
      <c r="D13" s="9">
        <v>45717</v>
      </c>
      <c r="E13" s="9"/>
      <c r="F13" s="13">
        <f>231</f>
        <v>231</v>
      </c>
      <c r="G13" s="5"/>
      <c r="H13" s="6"/>
    </row>
    <row r="14" spans="1:8" customFormat="1" ht="31.5" customHeight="1" x14ac:dyDescent="0.25">
      <c r="A14" s="7">
        <v>12</v>
      </c>
      <c r="B14" s="14" t="s">
        <v>23</v>
      </c>
      <c r="C14" s="8"/>
      <c r="D14" s="9">
        <v>45717</v>
      </c>
      <c r="E14" s="9"/>
      <c r="F14" s="13"/>
      <c r="G14" s="5"/>
      <c r="H14" s="6"/>
    </row>
    <row r="15" spans="1:8" customFormat="1" ht="31.5" customHeight="1" x14ac:dyDescent="0.25">
      <c r="A15" s="7">
        <v>13</v>
      </c>
      <c r="B15" s="14" t="s">
        <v>24</v>
      </c>
      <c r="C15" s="12" t="s">
        <v>25</v>
      </c>
      <c r="D15" s="9">
        <v>45717</v>
      </c>
      <c r="E15" s="9"/>
      <c r="F15" s="13">
        <v>473.6</v>
      </c>
      <c r="G15" s="5"/>
      <c r="H15" s="6"/>
    </row>
    <row r="16" spans="1:8" customFormat="1" ht="31.5" customHeight="1" x14ac:dyDescent="0.25">
      <c r="A16" s="7">
        <v>14</v>
      </c>
      <c r="B16" s="14" t="s">
        <v>157</v>
      </c>
      <c r="C16" s="12" t="s">
        <v>158</v>
      </c>
      <c r="D16" s="9">
        <v>45717</v>
      </c>
      <c r="E16" s="9"/>
      <c r="F16" s="13">
        <v>73.81</v>
      </c>
      <c r="G16" s="5"/>
      <c r="H16" s="6"/>
    </row>
    <row r="17" spans="1:12" customFormat="1" ht="31.5" customHeight="1" x14ac:dyDescent="0.25">
      <c r="A17" s="7">
        <v>15</v>
      </c>
      <c r="B17" s="14" t="s">
        <v>159</v>
      </c>
      <c r="C17" s="12" t="s">
        <v>160</v>
      </c>
      <c r="D17" s="9">
        <v>45717</v>
      </c>
      <c r="E17" s="9"/>
      <c r="F17" s="13">
        <f>722*2</f>
        <v>1444</v>
      </c>
      <c r="G17" s="5"/>
      <c r="H17" s="6"/>
    </row>
    <row r="18" spans="1:12" customFormat="1" ht="42" customHeight="1" x14ac:dyDescent="0.25">
      <c r="A18" s="48"/>
      <c r="B18" s="49" t="s">
        <v>31</v>
      </c>
      <c r="C18" s="50"/>
      <c r="D18" s="51"/>
      <c r="E18" s="52"/>
      <c r="F18" s="53">
        <f>SUM(F3:F17)</f>
        <v>95214.72099999999</v>
      </c>
      <c r="G18" s="54"/>
      <c r="H18" s="55"/>
    </row>
    <row r="19" spans="1:12" customFormat="1" ht="21.75" customHeight="1" x14ac:dyDescent="0.25">
      <c r="A19" s="16" t="s">
        <v>32</v>
      </c>
      <c r="B19" s="17" t="s">
        <v>33</v>
      </c>
      <c r="C19" s="18" t="s">
        <v>34</v>
      </c>
      <c r="D19" s="16" t="s">
        <v>35</v>
      </c>
      <c r="E19" s="16" t="s">
        <v>36</v>
      </c>
      <c r="F19" s="16" t="s">
        <v>37</v>
      </c>
      <c r="G19" s="19" t="s">
        <v>38</v>
      </c>
      <c r="H19" s="18" t="s">
        <v>39</v>
      </c>
    </row>
    <row r="20" spans="1:12" s="27" customFormat="1" ht="15" customHeight="1" x14ac:dyDescent="0.25">
      <c r="A20" s="20" t="s">
        <v>40</v>
      </c>
      <c r="B20" s="21" t="s">
        <v>41</v>
      </c>
      <c r="C20" s="22" t="s">
        <v>42</v>
      </c>
      <c r="D20" s="23">
        <v>4016</v>
      </c>
      <c r="E20" s="24">
        <f>D20/$D$64</f>
        <v>1.2610517083325563E-2</v>
      </c>
      <c r="F20" s="25">
        <f>$F$18*E20</f>
        <v>1200.7068657545772</v>
      </c>
      <c r="G20" s="26">
        <f>F20*5%</f>
        <v>60.035343287728864</v>
      </c>
      <c r="H20" s="26">
        <f t="shared" ref="H20:H63" si="0">F20+G20</f>
        <v>1260.7422090423061</v>
      </c>
    </row>
    <row r="21" spans="1:12" customFormat="1" x14ac:dyDescent="0.25">
      <c r="A21" s="20" t="s">
        <v>43</v>
      </c>
      <c r="B21" s="28" t="s">
        <v>44</v>
      </c>
      <c r="C21" s="22">
        <v>18778225000139</v>
      </c>
      <c r="D21" s="23">
        <v>8711.2199999999993</v>
      </c>
      <c r="E21" s="24">
        <f t="shared" ref="E21:E63" si="1">D21/$D$64</f>
        <v>2.7353831829334489E-2</v>
      </c>
      <c r="F21" s="25">
        <f t="shared" ref="F21:F63" si="2">$F$18*E21</f>
        <v>2604.4874659110028</v>
      </c>
      <c r="G21" s="26">
        <f t="shared" ref="G21:G63" si="3">F21*5%</f>
        <v>130.22437329555015</v>
      </c>
      <c r="H21" s="26">
        <f t="shared" si="0"/>
        <v>2734.7118392065531</v>
      </c>
    </row>
    <row r="22" spans="1:12" customFormat="1" x14ac:dyDescent="0.25">
      <c r="A22" s="20" t="s">
        <v>45</v>
      </c>
      <c r="B22" s="28" t="s">
        <v>46</v>
      </c>
      <c r="C22" s="22">
        <v>41993875000119</v>
      </c>
      <c r="D22" s="23">
        <v>3641.8</v>
      </c>
      <c r="E22" s="24">
        <f t="shared" si="1"/>
        <v>1.1435503265451952E-2</v>
      </c>
      <c r="F22" s="25">
        <f t="shared" si="2"/>
        <v>1088.8282529145963</v>
      </c>
      <c r="G22" s="26">
        <f t="shared" si="3"/>
        <v>54.44141264572982</v>
      </c>
      <c r="H22" s="26">
        <f t="shared" si="0"/>
        <v>1143.2696655603261</v>
      </c>
    </row>
    <row r="23" spans="1:12" customFormat="1" x14ac:dyDescent="0.25">
      <c r="A23" s="20" t="s">
        <v>47</v>
      </c>
      <c r="B23" s="21" t="s">
        <v>48</v>
      </c>
      <c r="C23" s="22">
        <v>24781302000102</v>
      </c>
      <c r="D23" s="23">
        <v>3430</v>
      </c>
      <c r="E23" s="24">
        <f t="shared" si="1"/>
        <v>1.0770436652342301E-2</v>
      </c>
      <c r="F23" s="25">
        <f t="shared" si="2"/>
        <v>1025.5041209009462</v>
      </c>
      <c r="G23" s="26">
        <f t="shared" si="3"/>
        <v>51.275206045047312</v>
      </c>
      <c r="H23" s="26">
        <f t="shared" si="0"/>
        <v>1076.7793269459935</v>
      </c>
    </row>
    <row r="24" spans="1:12" customFormat="1" x14ac:dyDescent="0.25">
      <c r="A24" s="20" t="s">
        <v>49</v>
      </c>
      <c r="B24" s="21" t="s">
        <v>50</v>
      </c>
      <c r="C24" s="22">
        <v>38649716000197</v>
      </c>
      <c r="D24" s="23">
        <v>3440</v>
      </c>
      <c r="E24" s="24">
        <f t="shared" si="1"/>
        <v>1.0801837342290821E-2</v>
      </c>
      <c r="F24" s="25">
        <f t="shared" si="2"/>
        <v>1028.4939288336018</v>
      </c>
      <c r="G24" s="26">
        <f t="shared" si="3"/>
        <v>51.424696441680091</v>
      </c>
      <c r="H24" s="26">
        <f t="shared" si="0"/>
        <v>1079.9186252752818</v>
      </c>
    </row>
    <row r="25" spans="1:12" customFormat="1" x14ac:dyDescent="0.25">
      <c r="A25" s="20" t="s">
        <v>51</v>
      </c>
      <c r="B25" s="21" t="s">
        <v>52</v>
      </c>
      <c r="C25" s="22" t="s">
        <v>53</v>
      </c>
      <c r="D25" s="23">
        <v>4056</v>
      </c>
      <c r="E25" s="24">
        <f t="shared" si="1"/>
        <v>1.2736119843119642E-2</v>
      </c>
      <c r="F25" s="25">
        <f t="shared" si="2"/>
        <v>1212.6660974852005</v>
      </c>
      <c r="G25" s="26">
        <f t="shared" si="3"/>
        <v>60.633304874260027</v>
      </c>
      <c r="H25" s="26">
        <f t="shared" si="0"/>
        <v>1273.2994023594604</v>
      </c>
    </row>
    <row r="26" spans="1:12" customFormat="1" x14ac:dyDescent="0.25">
      <c r="A26" s="20" t="s">
        <v>161</v>
      </c>
      <c r="B26" s="21" t="s">
        <v>162</v>
      </c>
      <c r="C26" s="22" t="s">
        <v>163</v>
      </c>
      <c r="D26" s="23">
        <v>9403</v>
      </c>
      <c r="E26" s="24">
        <f t="shared" si="1"/>
        <v>2.9526068758593194E-2</v>
      </c>
      <c r="F26" s="25">
        <f t="shared" si="2"/>
        <v>2811.3163990762669</v>
      </c>
      <c r="G26" s="26">
        <f t="shared" si="3"/>
        <v>140.56581995381336</v>
      </c>
      <c r="H26" s="26">
        <f t="shared" si="0"/>
        <v>2951.8822190300803</v>
      </c>
    </row>
    <row r="27" spans="1:12" customFormat="1" x14ac:dyDescent="0.25">
      <c r="A27" s="20" t="s">
        <v>54</v>
      </c>
      <c r="B27" s="21" t="s">
        <v>55</v>
      </c>
      <c r="C27" s="22" t="s">
        <v>56</v>
      </c>
      <c r="D27" s="23">
        <v>11580</v>
      </c>
      <c r="E27" s="24">
        <f t="shared" si="1"/>
        <v>3.6361998960385958E-2</v>
      </c>
      <c r="F27" s="25">
        <f t="shared" si="2"/>
        <v>3462.1975860154389</v>
      </c>
      <c r="G27" s="26">
        <f t="shared" si="3"/>
        <v>173.10987930077195</v>
      </c>
      <c r="H27" s="26">
        <f t="shared" si="0"/>
        <v>3635.3074653162107</v>
      </c>
    </row>
    <row r="28" spans="1:12" customFormat="1" x14ac:dyDescent="0.25">
      <c r="A28" s="20" t="s">
        <v>57</v>
      </c>
      <c r="B28" s="21" t="s">
        <v>58</v>
      </c>
      <c r="C28" s="22" t="s">
        <v>59</v>
      </c>
      <c r="D28" s="23">
        <f>360+360+1510</f>
        <v>2230</v>
      </c>
      <c r="E28" s="24">
        <f t="shared" si="1"/>
        <v>7.002353858519922E-3</v>
      </c>
      <c r="F28" s="25">
        <f t="shared" si="2"/>
        <v>666.7271689822478</v>
      </c>
      <c r="G28" s="26">
        <f t="shared" si="3"/>
        <v>33.336358449112389</v>
      </c>
      <c r="H28" s="26">
        <f t="shared" si="0"/>
        <v>700.06352743136017</v>
      </c>
    </row>
    <row r="29" spans="1:12" s="33" customFormat="1" ht="15.75" customHeight="1" x14ac:dyDescent="0.25">
      <c r="A29" s="20" t="s">
        <v>60</v>
      </c>
      <c r="B29" s="29" t="s">
        <v>61</v>
      </c>
      <c r="C29" s="30" t="s">
        <v>62</v>
      </c>
      <c r="D29" s="23">
        <f>5224+3930</f>
        <v>9154</v>
      </c>
      <c r="E29" s="24">
        <f t="shared" si="1"/>
        <v>2.8744191578875051E-2</v>
      </c>
      <c r="F29" s="25">
        <f t="shared" si="2"/>
        <v>2736.8701815531372</v>
      </c>
      <c r="G29" s="26">
        <f t="shared" si="3"/>
        <v>136.84350907765688</v>
      </c>
      <c r="H29" s="31">
        <f t="shared" si="0"/>
        <v>2873.7136906307942</v>
      </c>
      <c r="I29" s="32" t="s">
        <v>63</v>
      </c>
      <c r="L29" s="33" t="s">
        <v>64</v>
      </c>
    </row>
    <row r="30" spans="1:12" customFormat="1" ht="15.75" customHeight="1" x14ac:dyDescent="0.25">
      <c r="A30" s="20" t="s">
        <v>65</v>
      </c>
      <c r="B30" s="28" t="s">
        <v>66</v>
      </c>
      <c r="C30" s="22" t="s">
        <v>67</v>
      </c>
      <c r="D30" s="23">
        <v>2610</v>
      </c>
      <c r="E30" s="24">
        <f t="shared" si="1"/>
        <v>8.1955800765636747E-3</v>
      </c>
      <c r="F30" s="25">
        <f t="shared" si="2"/>
        <v>780.3398704231688</v>
      </c>
      <c r="G30" s="26">
        <f t="shared" si="3"/>
        <v>39.01699352115844</v>
      </c>
      <c r="H30" s="26">
        <f t="shared" si="0"/>
        <v>819.35686394432719</v>
      </c>
    </row>
    <row r="31" spans="1:12" customFormat="1" ht="15.75" customHeight="1" x14ac:dyDescent="0.25">
      <c r="A31" s="20" t="s">
        <v>68</v>
      </c>
      <c r="B31" s="28" t="s">
        <v>69</v>
      </c>
      <c r="C31" s="22" t="s">
        <v>70</v>
      </c>
      <c r="D31" s="23">
        <v>5515</v>
      </c>
      <c r="E31" s="24">
        <f t="shared" si="1"/>
        <v>1.7317480506608685E-2</v>
      </c>
      <c r="F31" s="25">
        <f t="shared" si="2"/>
        <v>1648.8790748596844</v>
      </c>
      <c r="G31" s="26">
        <f t="shared" si="3"/>
        <v>82.44395374298422</v>
      </c>
      <c r="H31" s="26">
        <f t="shared" si="0"/>
        <v>1731.3230286026685</v>
      </c>
    </row>
    <row r="32" spans="1:12" customFormat="1" ht="15.75" customHeight="1" x14ac:dyDescent="0.25">
      <c r="A32" s="20" t="s">
        <v>71</v>
      </c>
      <c r="B32" s="21" t="s">
        <v>72</v>
      </c>
      <c r="C32" s="22">
        <v>17202383000183</v>
      </c>
      <c r="D32" s="23">
        <v>15332</v>
      </c>
      <c r="E32" s="24">
        <f t="shared" si="1"/>
        <v>4.8143537829070597E-2</v>
      </c>
      <c r="F32" s="25">
        <f t="shared" si="2"/>
        <v>4583.973522347902</v>
      </c>
      <c r="G32" s="26">
        <f t="shared" si="3"/>
        <v>229.19867611739511</v>
      </c>
      <c r="H32" s="26">
        <f t="shared" si="0"/>
        <v>4813.1721984652968</v>
      </c>
    </row>
    <row r="33" spans="1:12" customFormat="1" ht="15.75" customHeight="1" x14ac:dyDescent="0.25">
      <c r="A33" s="20" t="s">
        <v>73</v>
      </c>
      <c r="B33" s="21" t="s">
        <v>74</v>
      </c>
      <c r="C33" s="22">
        <v>18183488000103</v>
      </c>
      <c r="D33" s="23">
        <v>7238</v>
      </c>
      <c r="E33" s="24">
        <f t="shared" si="1"/>
        <v>2.272781938473865E-2</v>
      </c>
      <c r="F33" s="25">
        <f t="shared" si="2"/>
        <v>2164.0229816562819</v>
      </c>
      <c r="G33" s="26">
        <f t="shared" si="3"/>
        <v>108.2011490828141</v>
      </c>
      <c r="H33" s="26">
        <f t="shared" si="0"/>
        <v>2272.2241307390959</v>
      </c>
    </row>
    <row r="34" spans="1:12" customFormat="1" x14ac:dyDescent="0.25">
      <c r="A34" s="20" t="s">
        <v>75</v>
      </c>
      <c r="B34" s="21" t="s">
        <v>76</v>
      </c>
      <c r="C34" s="22">
        <v>18244070000150</v>
      </c>
      <c r="D34" s="23">
        <v>5941</v>
      </c>
      <c r="E34" s="24">
        <f t="shared" si="1"/>
        <v>1.8655149898415629E-2</v>
      </c>
      <c r="F34" s="25">
        <f t="shared" si="2"/>
        <v>1776.2448927908224</v>
      </c>
      <c r="G34" s="26">
        <f t="shared" si="3"/>
        <v>88.81224463954112</v>
      </c>
      <c r="H34" s="26">
        <f t="shared" si="0"/>
        <v>1865.0571374303636</v>
      </c>
    </row>
    <row r="35" spans="1:12" customFormat="1" x14ac:dyDescent="0.25">
      <c r="A35" s="20" t="s">
        <v>77</v>
      </c>
      <c r="B35" s="21" t="s">
        <v>78</v>
      </c>
      <c r="C35" s="22">
        <v>18244039000110</v>
      </c>
      <c r="D35" s="23">
        <v>4460</v>
      </c>
      <c r="E35" s="24">
        <f t="shared" si="1"/>
        <v>1.4004707717039844E-2</v>
      </c>
      <c r="F35" s="25">
        <f t="shared" si="2"/>
        <v>1333.4543379644956</v>
      </c>
      <c r="G35" s="26">
        <f t="shared" si="3"/>
        <v>66.672716898224778</v>
      </c>
      <c r="H35" s="26">
        <f t="shared" si="0"/>
        <v>1400.1270548627203</v>
      </c>
    </row>
    <row r="36" spans="1:12" customFormat="1" x14ac:dyDescent="0.25">
      <c r="A36" s="20" t="s">
        <v>79</v>
      </c>
      <c r="B36" s="21" t="s">
        <v>153</v>
      </c>
      <c r="C36" s="67" t="s">
        <v>154</v>
      </c>
      <c r="D36" s="23">
        <v>4415</v>
      </c>
      <c r="E36" s="24">
        <f t="shared" si="1"/>
        <v>1.3863404612271504E-2</v>
      </c>
      <c r="F36" s="25">
        <f t="shared" si="2"/>
        <v>1320.0002022675442</v>
      </c>
      <c r="G36" s="26">
        <f t="shared" si="3"/>
        <v>66.000010113377215</v>
      </c>
      <c r="H36" s="26">
        <f t="shared" si="0"/>
        <v>1386.0002123809213</v>
      </c>
    </row>
    <row r="37" spans="1:12" customFormat="1" x14ac:dyDescent="0.25">
      <c r="A37" s="20" t="s">
        <v>81</v>
      </c>
      <c r="B37" s="21" t="s">
        <v>82</v>
      </c>
      <c r="C37" s="22" t="s">
        <v>83</v>
      </c>
      <c r="D37" s="23">
        <v>8673</v>
      </c>
      <c r="E37" s="24">
        <f t="shared" si="1"/>
        <v>2.7233818392351245E-2</v>
      </c>
      <c r="F37" s="25">
        <f t="shared" si="2"/>
        <v>2593.0604199923919</v>
      </c>
      <c r="G37" s="26">
        <f t="shared" si="3"/>
        <v>129.6530209996196</v>
      </c>
      <c r="H37" s="26">
        <f t="shared" si="0"/>
        <v>2722.7134409920113</v>
      </c>
    </row>
    <row r="38" spans="1:12" customFormat="1" x14ac:dyDescent="0.25">
      <c r="A38" s="20" t="s">
        <v>84</v>
      </c>
      <c r="B38" s="21" t="s">
        <v>85</v>
      </c>
      <c r="C38" s="22" t="s">
        <v>86</v>
      </c>
      <c r="D38" s="23">
        <v>9239</v>
      </c>
      <c r="E38" s="24">
        <f t="shared" si="1"/>
        <v>2.901109744343747E-2</v>
      </c>
      <c r="F38" s="25">
        <f t="shared" si="2"/>
        <v>2762.2835489807117</v>
      </c>
      <c r="G38" s="26">
        <f t="shared" si="3"/>
        <v>138.11417744903559</v>
      </c>
      <c r="H38" s="26">
        <f t="shared" si="0"/>
        <v>2900.3977264297473</v>
      </c>
    </row>
    <row r="39" spans="1:12" customFormat="1" x14ac:dyDescent="0.25">
      <c r="A39" s="20" t="s">
        <v>87</v>
      </c>
      <c r="B39" s="21" t="s">
        <v>88</v>
      </c>
      <c r="C39" s="22" t="s">
        <v>89</v>
      </c>
      <c r="D39" s="23">
        <v>4892</v>
      </c>
      <c r="E39" s="24">
        <f t="shared" si="1"/>
        <v>1.53612175228159E-2</v>
      </c>
      <c r="F39" s="25">
        <f t="shared" si="2"/>
        <v>1462.614040655227</v>
      </c>
      <c r="G39" s="26">
        <f t="shared" si="3"/>
        <v>73.130702032761349</v>
      </c>
      <c r="H39" s="26">
        <f t="shared" si="0"/>
        <v>1535.7447426879883</v>
      </c>
    </row>
    <row r="40" spans="1:12" customFormat="1" x14ac:dyDescent="0.25">
      <c r="A40" s="20" t="s">
        <v>90</v>
      </c>
      <c r="B40" s="21" t="s">
        <v>91</v>
      </c>
      <c r="C40" s="22">
        <v>41497649000147</v>
      </c>
      <c r="D40" s="23">
        <v>2526</v>
      </c>
      <c r="E40" s="24">
        <f t="shared" si="1"/>
        <v>7.9318142809961089E-3</v>
      </c>
      <c r="F40" s="25">
        <f t="shared" si="2"/>
        <v>755.22548378886006</v>
      </c>
      <c r="G40" s="26">
        <f t="shared" si="3"/>
        <v>37.761274189443007</v>
      </c>
      <c r="H40" s="26">
        <f t="shared" si="0"/>
        <v>792.9867579783031</v>
      </c>
    </row>
    <row r="41" spans="1:12" s="63" customFormat="1" x14ac:dyDescent="0.25">
      <c r="A41" s="56" t="s">
        <v>145</v>
      </c>
      <c r="B41" s="57" t="s">
        <v>146</v>
      </c>
      <c r="C41" s="58">
        <v>19209989000176</v>
      </c>
      <c r="D41" s="59">
        <v>15365.8</v>
      </c>
      <c r="E41" s="60">
        <f t="shared" si="1"/>
        <v>4.8249672161096595E-2</v>
      </c>
      <c r="F41" s="61">
        <f t="shared" si="2"/>
        <v>4594.0790731602792</v>
      </c>
      <c r="G41" s="62">
        <f t="shared" si="3"/>
        <v>229.70395365801397</v>
      </c>
      <c r="H41" s="62">
        <f>F41+G41</f>
        <v>4823.7830268182934</v>
      </c>
    </row>
    <row r="42" spans="1:12" customFormat="1" x14ac:dyDescent="0.25">
      <c r="A42" s="20" t="s">
        <v>92</v>
      </c>
      <c r="B42" s="21" t="s">
        <v>93</v>
      </c>
      <c r="C42" s="22">
        <v>40580071000125</v>
      </c>
      <c r="D42" s="23">
        <v>3600</v>
      </c>
      <c r="E42" s="24">
        <f t="shared" si="1"/>
        <v>1.1304248381467139E-2</v>
      </c>
      <c r="F42" s="25">
        <f t="shared" si="2"/>
        <v>1076.3308557560952</v>
      </c>
      <c r="G42" s="26">
        <f t="shared" si="3"/>
        <v>53.816542787804764</v>
      </c>
      <c r="H42" s="26">
        <f t="shared" si="0"/>
        <v>1130.1473985439</v>
      </c>
      <c r="I42" s="32" t="s">
        <v>63</v>
      </c>
      <c r="L42" t="s">
        <v>94</v>
      </c>
    </row>
    <row r="43" spans="1:12" customFormat="1" x14ac:dyDescent="0.25">
      <c r="A43" s="20" t="s">
        <v>95</v>
      </c>
      <c r="B43" s="21" t="s">
        <v>96</v>
      </c>
      <c r="C43" s="22" t="s">
        <v>97</v>
      </c>
      <c r="D43" s="23">
        <v>3938</v>
      </c>
      <c r="E43" s="24">
        <f t="shared" si="1"/>
        <v>1.2365591701727109E-2</v>
      </c>
      <c r="F43" s="25">
        <f t="shared" si="2"/>
        <v>1177.3863638798618</v>
      </c>
      <c r="G43" s="26">
        <f t="shared" si="3"/>
        <v>58.869318193993095</v>
      </c>
      <c r="H43" s="26">
        <f t="shared" si="0"/>
        <v>1236.255682073855</v>
      </c>
    </row>
    <row r="44" spans="1:12" customFormat="1" x14ac:dyDescent="0.25">
      <c r="A44" s="20" t="s">
        <v>98</v>
      </c>
      <c r="B44" s="21" t="s">
        <v>99</v>
      </c>
      <c r="C44" s="22">
        <v>18788190000119</v>
      </c>
      <c r="D44" s="23">
        <v>3707</v>
      </c>
      <c r="E44" s="24">
        <f t="shared" si="1"/>
        <v>1.1640235763916301E-2</v>
      </c>
      <c r="F44" s="25">
        <f t="shared" si="2"/>
        <v>1108.3218006355123</v>
      </c>
      <c r="G44" s="26">
        <f t="shared" si="3"/>
        <v>55.416090031775617</v>
      </c>
      <c r="H44" s="26">
        <f t="shared" si="0"/>
        <v>1163.737890667288</v>
      </c>
    </row>
    <row r="45" spans="1:12" customFormat="1" x14ac:dyDescent="0.25">
      <c r="A45" s="20" t="s">
        <v>100</v>
      </c>
      <c r="B45" s="21" t="s">
        <v>101</v>
      </c>
      <c r="C45" s="22">
        <v>42109766000159</v>
      </c>
      <c r="D45" s="23">
        <v>5117</v>
      </c>
      <c r="E45" s="24">
        <f t="shared" si="1"/>
        <v>1.6067733046657595E-2</v>
      </c>
      <c r="F45" s="25">
        <f t="shared" si="2"/>
        <v>1529.8847191399827</v>
      </c>
      <c r="G45" s="26">
        <f t="shared" si="3"/>
        <v>76.494235956999134</v>
      </c>
      <c r="H45" s="26">
        <f t="shared" si="0"/>
        <v>1606.3789550969818</v>
      </c>
    </row>
    <row r="46" spans="1:12" customFormat="1" x14ac:dyDescent="0.25">
      <c r="A46" s="20" t="s">
        <v>102</v>
      </c>
      <c r="B46" s="21" t="s">
        <v>99</v>
      </c>
      <c r="C46" s="22">
        <v>18788190000119</v>
      </c>
      <c r="D46" s="23">
        <v>14717</v>
      </c>
      <c r="E46" s="24">
        <f t="shared" si="1"/>
        <v>4.6212395397236629E-2</v>
      </c>
      <c r="F46" s="25">
        <f t="shared" si="2"/>
        <v>4400.1003344895689</v>
      </c>
      <c r="G46" s="26">
        <f t="shared" si="3"/>
        <v>220.00501672447845</v>
      </c>
      <c r="H46" s="26">
        <f t="shared" si="0"/>
        <v>4620.105351214047</v>
      </c>
    </row>
    <row r="47" spans="1:12" customFormat="1" ht="13.5" customHeight="1" x14ac:dyDescent="0.25">
      <c r="A47" s="20" t="s">
        <v>103</v>
      </c>
      <c r="B47" s="21" t="s">
        <v>104</v>
      </c>
      <c r="C47" s="22">
        <v>32302613000170</v>
      </c>
      <c r="D47" s="23">
        <v>5439</v>
      </c>
      <c r="E47" s="24">
        <f t="shared" si="1"/>
        <v>1.7078835262999935E-2</v>
      </c>
      <c r="F47" s="25">
        <f t="shared" si="2"/>
        <v>1626.1565345715003</v>
      </c>
      <c r="G47" s="26">
        <f t="shared" si="3"/>
        <v>81.307826728575023</v>
      </c>
      <c r="H47" s="26">
        <f t="shared" si="0"/>
        <v>1707.4643613000753</v>
      </c>
    </row>
    <row r="48" spans="1:12" customFormat="1" x14ac:dyDescent="0.25">
      <c r="A48" s="20" t="s">
        <v>105</v>
      </c>
      <c r="B48" s="21" t="s">
        <v>106</v>
      </c>
      <c r="C48" s="22">
        <v>28616552000148</v>
      </c>
      <c r="D48" s="23">
        <v>4123.71</v>
      </c>
      <c r="E48" s="24">
        <f t="shared" si="1"/>
        <v>1.2948733914761069E-2</v>
      </c>
      <c r="F48" s="25">
        <f t="shared" si="2"/>
        <v>1232.9100869972128</v>
      </c>
      <c r="G48" s="26">
        <f t="shared" si="3"/>
        <v>61.645504349860644</v>
      </c>
      <c r="H48" s="26">
        <f t="shared" si="0"/>
        <v>1294.5555913470735</v>
      </c>
    </row>
    <row r="49" spans="1:8" customFormat="1" x14ac:dyDescent="0.25">
      <c r="A49" s="20" t="s">
        <v>107</v>
      </c>
      <c r="B49" s="21" t="s">
        <v>108</v>
      </c>
      <c r="C49" s="22">
        <v>42579914000107</v>
      </c>
      <c r="D49" s="23">
        <v>4986.3599999999997</v>
      </c>
      <c r="E49" s="24">
        <f t="shared" si="1"/>
        <v>1.5657514433170133E-2</v>
      </c>
      <c r="F49" s="25">
        <f t="shared" si="2"/>
        <v>1490.8258683077672</v>
      </c>
      <c r="G49" s="26">
        <f t="shared" si="3"/>
        <v>74.541293415388367</v>
      </c>
      <c r="H49" s="26">
        <f t="shared" si="0"/>
        <v>1565.3671617231555</v>
      </c>
    </row>
    <row r="50" spans="1:8" customFormat="1" x14ac:dyDescent="0.25">
      <c r="A50" s="20" t="s">
        <v>109</v>
      </c>
      <c r="B50" s="21" t="s">
        <v>110</v>
      </c>
      <c r="C50" s="22" t="s">
        <v>111</v>
      </c>
      <c r="D50" s="23">
        <v>7462</v>
      </c>
      <c r="E50" s="24">
        <f t="shared" si="1"/>
        <v>2.3431194839585497E-2</v>
      </c>
      <c r="F50" s="25">
        <f t="shared" si="2"/>
        <v>2230.9946793477725</v>
      </c>
      <c r="G50" s="26">
        <f t="shared" si="3"/>
        <v>111.54973396738863</v>
      </c>
      <c r="H50" s="26">
        <f t="shared" si="0"/>
        <v>2342.5444133151609</v>
      </c>
    </row>
    <row r="51" spans="1:8" customFormat="1" x14ac:dyDescent="0.25">
      <c r="A51" s="20" t="s">
        <v>112</v>
      </c>
      <c r="B51" s="21" t="s">
        <v>113</v>
      </c>
      <c r="C51" s="22" t="s">
        <v>114</v>
      </c>
      <c r="D51" s="23">
        <v>5525</v>
      </c>
      <c r="E51" s="24">
        <f t="shared" si="1"/>
        <v>1.7348881196557205E-2</v>
      </c>
      <c r="F51" s="25">
        <f t="shared" si="2"/>
        <v>1651.8688827923402</v>
      </c>
      <c r="G51" s="26">
        <f t="shared" si="3"/>
        <v>82.59344413961702</v>
      </c>
      <c r="H51" s="26">
        <f t="shared" si="0"/>
        <v>1734.4623269319573</v>
      </c>
    </row>
    <row r="52" spans="1:8" customFormat="1" x14ac:dyDescent="0.25">
      <c r="A52" s="20" t="s">
        <v>115</v>
      </c>
      <c r="B52" s="21" t="s">
        <v>116</v>
      </c>
      <c r="C52" s="22">
        <v>26480299000112</v>
      </c>
      <c r="D52" s="23"/>
      <c r="E52" s="24">
        <f t="shared" si="1"/>
        <v>0</v>
      </c>
      <c r="F52" s="25">
        <f t="shared" si="2"/>
        <v>0</v>
      </c>
      <c r="G52" s="26">
        <f t="shared" si="3"/>
        <v>0</v>
      </c>
      <c r="H52" s="26">
        <f t="shared" si="0"/>
        <v>0</v>
      </c>
    </row>
    <row r="53" spans="1:8" customFormat="1" x14ac:dyDescent="0.25">
      <c r="A53" s="20" t="s">
        <v>117</v>
      </c>
      <c r="B53" s="21" t="s">
        <v>118</v>
      </c>
      <c r="C53" s="22" t="s">
        <v>119</v>
      </c>
      <c r="D53" s="23">
        <v>4943</v>
      </c>
      <c r="E53" s="24">
        <f t="shared" si="1"/>
        <v>1.552136104155335E-2</v>
      </c>
      <c r="F53" s="25">
        <f t="shared" si="2"/>
        <v>1477.8620611117715</v>
      </c>
      <c r="G53" s="26">
        <f t="shared" si="3"/>
        <v>73.893103055588583</v>
      </c>
      <c r="H53" s="26">
        <f t="shared" si="0"/>
        <v>1551.7551641673601</v>
      </c>
    </row>
    <row r="54" spans="1:8" customFormat="1" x14ac:dyDescent="0.25">
      <c r="A54" s="20" t="s">
        <v>120</v>
      </c>
      <c r="B54" s="21" t="s">
        <v>121</v>
      </c>
      <c r="C54" s="22">
        <v>12997366000166</v>
      </c>
      <c r="D54" s="23">
        <v>5160</v>
      </c>
      <c r="E54" s="24">
        <f t="shared" si="1"/>
        <v>1.620275601343623E-2</v>
      </c>
      <c r="F54" s="25">
        <f t="shared" si="2"/>
        <v>1542.7408932504027</v>
      </c>
      <c r="G54" s="26">
        <f t="shared" si="3"/>
        <v>77.13704466252014</v>
      </c>
      <c r="H54" s="26">
        <f t="shared" si="0"/>
        <v>1619.8779379129228</v>
      </c>
    </row>
    <row r="55" spans="1:8" customFormat="1" ht="16.5" customHeight="1" x14ac:dyDescent="0.25">
      <c r="A55" s="20" t="s">
        <v>122</v>
      </c>
      <c r="B55" s="21" t="s">
        <v>123</v>
      </c>
      <c r="C55" s="22" t="s">
        <v>124</v>
      </c>
      <c r="D55" s="23">
        <v>6586</v>
      </c>
      <c r="E55" s="24">
        <f t="shared" si="1"/>
        <v>2.0680494400095159E-2</v>
      </c>
      <c r="F55" s="25">
        <f t="shared" si="2"/>
        <v>1969.0875044471227</v>
      </c>
      <c r="G55" s="26">
        <f t="shared" si="3"/>
        <v>98.454375222356134</v>
      </c>
      <c r="H55" s="26">
        <f t="shared" si="0"/>
        <v>2067.5418796694789</v>
      </c>
    </row>
    <row r="56" spans="1:8" customFormat="1" x14ac:dyDescent="0.25">
      <c r="A56" s="20" t="s">
        <v>125</v>
      </c>
      <c r="B56" s="21" t="s">
        <v>126</v>
      </c>
      <c r="C56" s="22">
        <v>11884518000151</v>
      </c>
      <c r="D56" s="23">
        <v>5644</v>
      </c>
      <c r="E56" s="24">
        <f t="shared" si="1"/>
        <v>1.772254940694459E-2</v>
      </c>
      <c r="F56" s="25">
        <f t="shared" si="2"/>
        <v>1687.4475971909444</v>
      </c>
      <c r="G56" s="26">
        <f t="shared" si="3"/>
        <v>84.372379859547223</v>
      </c>
      <c r="H56" s="26">
        <f t="shared" si="0"/>
        <v>1771.8199770504916</v>
      </c>
    </row>
    <row r="57" spans="1:8" s="63" customFormat="1" x14ac:dyDescent="0.25">
      <c r="A57" s="56" t="s">
        <v>147</v>
      </c>
      <c r="B57" s="57" t="s">
        <v>148</v>
      </c>
      <c r="C57" s="58">
        <v>41142377000162</v>
      </c>
      <c r="D57" s="59">
        <v>1134.82</v>
      </c>
      <c r="E57" s="60">
        <f t="shared" si="1"/>
        <v>3.5634130967379268E-3</v>
      </c>
      <c r="F57" s="61">
        <f t="shared" si="2"/>
        <v>339.2893838136477</v>
      </c>
      <c r="G57" s="62">
        <f t="shared" si="3"/>
        <v>16.964469190682387</v>
      </c>
      <c r="H57" s="62">
        <f t="shared" si="0"/>
        <v>356.2538530043301</v>
      </c>
    </row>
    <row r="58" spans="1:8" customFormat="1" x14ac:dyDescent="0.25">
      <c r="A58" s="20" t="s">
        <v>127</v>
      </c>
      <c r="B58" s="21" t="s">
        <v>128</v>
      </c>
      <c r="C58" s="22">
        <v>36188051000136</v>
      </c>
      <c r="D58" s="23">
        <v>6936</v>
      </c>
      <c r="E58" s="24">
        <f t="shared" si="1"/>
        <v>2.1779518548293353E-2</v>
      </c>
      <c r="F58" s="25">
        <f t="shared" si="2"/>
        <v>2073.7307820900764</v>
      </c>
      <c r="G58" s="26">
        <f t="shared" si="3"/>
        <v>103.68653910450382</v>
      </c>
      <c r="H58" s="26">
        <f t="shared" si="0"/>
        <v>2177.4173211945804</v>
      </c>
    </row>
    <row r="59" spans="1:8" customFormat="1" x14ac:dyDescent="0.25">
      <c r="A59" s="20" t="s">
        <v>129</v>
      </c>
      <c r="B59" s="21" t="s">
        <v>130</v>
      </c>
      <c r="C59" s="22" t="s">
        <v>131</v>
      </c>
      <c r="D59" s="23">
        <f>7425*40%</f>
        <v>2970</v>
      </c>
      <c r="E59" s="24">
        <f t="shared" si="1"/>
        <v>9.3260049147103896E-3</v>
      </c>
      <c r="F59" s="25">
        <f t="shared" si="2"/>
        <v>887.9729559987785</v>
      </c>
      <c r="G59" s="26">
        <f t="shared" si="3"/>
        <v>44.398647799938928</v>
      </c>
      <c r="H59" s="26">
        <f t="shared" si="0"/>
        <v>932.37160379871739</v>
      </c>
    </row>
    <row r="60" spans="1:8" customFormat="1" x14ac:dyDescent="0.25">
      <c r="A60" s="20" t="s">
        <v>132</v>
      </c>
      <c r="B60" s="21" t="s">
        <v>133</v>
      </c>
      <c r="C60" s="22">
        <v>18741082000190</v>
      </c>
      <c r="D60" s="23">
        <v>12183</v>
      </c>
      <c r="E60" s="24">
        <f t="shared" si="1"/>
        <v>3.825546056428171E-2</v>
      </c>
      <c r="F60" s="25">
        <f t="shared" si="2"/>
        <v>3642.4830043545853</v>
      </c>
      <c r="G60" s="26">
        <f t="shared" si="3"/>
        <v>182.12415021772927</v>
      </c>
      <c r="H60" s="26">
        <f t="shared" si="0"/>
        <v>3824.6071545723144</v>
      </c>
    </row>
    <row r="61" spans="1:8" customFormat="1" x14ac:dyDescent="0.25">
      <c r="A61" s="20" t="s">
        <v>134</v>
      </c>
      <c r="B61" s="21" t="s">
        <v>135</v>
      </c>
      <c r="C61" s="22" t="s">
        <v>136</v>
      </c>
      <c r="D61" s="23">
        <v>4814</v>
      </c>
      <c r="E61" s="24">
        <f t="shared" si="1"/>
        <v>1.5116292141217446E-2</v>
      </c>
      <c r="F61" s="25">
        <f t="shared" si="2"/>
        <v>1439.2935387805117</v>
      </c>
      <c r="G61" s="26">
        <f t="shared" si="3"/>
        <v>71.96467693902558</v>
      </c>
      <c r="H61" s="26">
        <f t="shared" si="0"/>
        <v>1511.2582157195372</v>
      </c>
    </row>
    <row r="62" spans="1:8" customFormat="1" x14ac:dyDescent="0.25">
      <c r="A62" s="20" t="s">
        <v>137</v>
      </c>
      <c r="B62" s="21" t="s">
        <v>138</v>
      </c>
      <c r="C62" s="22" t="s">
        <v>139</v>
      </c>
      <c r="D62" s="23">
        <v>3476.86</v>
      </c>
      <c r="E62" s="24">
        <f t="shared" si="1"/>
        <v>1.0917580285441065E-2</v>
      </c>
      <c r="F62" s="25">
        <f t="shared" si="2"/>
        <v>1039.5143608733713</v>
      </c>
      <c r="G62" s="26">
        <f t="shared" si="3"/>
        <v>51.975718043668564</v>
      </c>
      <c r="H62" s="26">
        <f t="shared" si="0"/>
        <v>1091.4900789170399</v>
      </c>
    </row>
    <row r="63" spans="1:8" customFormat="1" x14ac:dyDescent="0.25">
      <c r="A63" s="20" t="s">
        <v>140</v>
      </c>
      <c r="B63" s="28" t="s">
        <v>141</v>
      </c>
      <c r="C63" s="22">
        <v>11884518000151</v>
      </c>
      <c r="D63" s="68">
        <f>81377.44-14717-3314-9239+11302+4126.33-9403</f>
        <v>60132.770000000004</v>
      </c>
      <c r="E63" s="24">
        <f t="shared" si="1"/>
        <v>0.18882104665156549</v>
      </c>
      <c r="F63" s="25">
        <f t="shared" si="2"/>
        <v>17978.543275856791</v>
      </c>
      <c r="G63" s="26">
        <f t="shared" si="3"/>
        <v>898.92716379283956</v>
      </c>
      <c r="H63" s="26">
        <f t="shared" si="0"/>
        <v>18877.470439649631</v>
      </c>
    </row>
    <row r="64" spans="1:8" customFormat="1" x14ac:dyDescent="0.25">
      <c r="A64" s="34"/>
      <c r="B64" s="35"/>
      <c r="C64" s="36" t="s">
        <v>142</v>
      </c>
      <c r="D64" s="37">
        <f>SUM(D20:D63)</f>
        <v>318464.33999999997</v>
      </c>
      <c r="E64" s="38">
        <f>SUM(E20:E63)</f>
        <v>1</v>
      </c>
      <c r="F64" s="39">
        <f>SUM(F20:F63)</f>
        <v>95214.72099999999</v>
      </c>
      <c r="G64" s="39">
        <f>SUM(G20:G63)</f>
        <v>4760.7360500000013</v>
      </c>
      <c r="H64" s="40">
        <f>SUM(H20:H63)</f>
        <v>99975.457049999997</v>
      </c>
    </row>
    <row r="65" spans="2:8" customFormat="1" x14ac:dyDescent="0.25">
      <c r="F65" s="41"/>
    </row>
    <row r="66" spans="2:8" customFormat="1" x14ac:dyDescent="0.25">
      <c r="F66" s="41"/>
    </row>
    <row r="67" spans="2:8" customFormat="1" x14ac:dyDescent="0.25">
      <c r="B67" s="115" t="s">
        <v>143</v>
      </c>
      <c r="C67" s="115"/>
      <c r="F67" s="41"/>
    </row>
    <row r="68" spans="2:8" customFormat="1" x14ac:dyDescent="0.25">
      <c r="B68" s="116" t="s">
        <v>144</v>
      </c>
      <c r="C68" s="117"/>
      <c r="E68" s="41"/>
      <c r="H68" s="42"/>
    </row>
    <row r="69" spans="2:8" customFormat="1" x14ac:dyDescent="0.25">
      <c r="E69" s="41"/>
      <c r="H69" s="43"/>
    </row>
    <row r="70" spans="2:8" customFormat="1" x14ac:dyDescent="0.25">
      <c r="D70" s="44"/>
      <c r="E70" s="41"/>
      <c r="H70" s="42"/>
    </row>
    <row r="71" spans="2:8" customFormat="1" x14ac:dyDescent="0.25">
      <c r="E71" s="41"/>
    </row>
    <row r="72" spans="2:8" customFormat="1" x14ac:dyDescent="0.25"/>
    <row r="73" spans="2:8" customFormat="1" x14ac:dyDescent="0.25"/>
    <row r="74" spans="2:8" customFormat="1" x14ac:dyDescent="0.25"/>
    <row r="75" spans="2:8" customFormat="1" x14ac:dyDescent="0.25"/>
    <row r="76" spans="2:8" customFormat="1" x14ac:dyDescent="0.25"/>
    <row r="77" spans="2:8" customFormat="1" x14ac:dyDescent="0.25"/>
    <row r="78" spans="2:8" customFormat="1" x14ac:dyDescent="0.25"/>
    <row r="79" spans="2:8" customFormat="1" x14ac:dyDescent="0.25"/>
    <row r="80" spans="2:8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spans="1:8" customFormat="1" x14ac:dyDescent="0.25"/>
    <row r="146" spans="1:8" customFormat="1" x14ac:dyDescent="0.25"/>
    <row r="147" spans="1:8" customFormat="1" x14ac:dyDescent="0.25"/>
    <row r="148" spans="1:8" customFormat="1" x14ac:dyDescent="0.25"/>
    <row r="149" spans="1:8" customFormat="1" x14ac:dyDescent="0.25"/>
    <row r="150" spans="1:8" customFormat="1" x14ac:dyDescent="0.25"/>
    <row r="151" spans="1:8" customFormat="1" x14ac:dyDescent="0.25">
      <c r="A151" s="45"/>
      <c r="B151" s="45"/>
      <c r="C151" s="45"/>
      <c r="D151" s="45"/>
      <c r="E151" s="45"/>
    </row>
    <row r="152" spans="1:8" x14ac:dyDescent="0.25">
      <c r="F152"/>
      <c r="G152"/>
      <c r="H152"/>
    </row>
    <row r="153" spans="1:8" x14ac:dyDescent="0.25">
      <c r="F153"/>
      <c r="G153"/>
      <c r="H153"/>
    </row>
    <row r="154" spans="1:8" x14ac:dyDescent="0.25">
      <c r="F154"/>
      <c r="G154"/>
      <c r="H154"/>
    </row>
    <row r="155" spans="1:8" x14ac:dyDescent="0.25">
      <c r="F155"/>
      <c r="G155"/>
      <c r="H155"/>
    </row>
    <row r="156" spans="1:8" x14ac:dyDescent="0.25">
      <c r="F156"/>
      <c r="G156"/>
      <c r="H156"/>
    </row>
    <row r="157" spans="1:8" x14ac:dyDescent="0.25">
      <c r="F157"/>
      <c r="G157"/>
      <c r="H157"/>
    </row>
    <row r="158" spans="1:8" x14ac:dyDescent="0.25">
      <c r="F158"/>
      <c r="G158"/>
      <c r="H158"/>
    </row>
    <row r="159" spans="1:8" x14ac:dyDescent="0.25">
      <c r="F159"/>
      <c r="G159"/>
      <c r="H159"/>
    </row>
    <row r="160" spans="1:8" x14ac:dyDescent="0.25">
      <c r="F160"/>
      <c r="G160"/>
      <c r="H160"/>
    </row>
    <row r="161" spans="6:8" x14ac:dyDescent="0.25">
      <c r="F161"/>
      <c r="G161"/>
      <c r="H161"/>
    </row>
    <row r="162" spans="6:8" x14ac:dyDescent="0.25">
      <c r="F162"/>
      <c r="G162"/>
      <c r="H162"/>
    </row>
    <row r="163" spans="6:8" x14ac:dyDescent="0.25">
      <c r="F163"/>
      <c r="G163"/>
      <c r="H163"/>
    </row>
    <row r="164" spans="6:8" x14ac:dyDescent="0.25">
      <c r="F164"/>
      <c r="G164"/>
      <c r="H164"/>
    </row>
    <row r="165" spans="6:8" x14ac:dyDescent="0.25">
      <c r="F165"/>
      <c r="G165"/>
      <c r="H165"/>
    </row>
    <row r="166" spans="6:8" x14ac:dyDescent="0.25">
      <c r="F166"/>
      <c r="G166"/>
      <c r="H166"/>
    </row>
    <row r="167" spans="6:8" x14ac:dyDescent="0.25">
      <c r="F167"/>
      <c r="G167"/>
      <c r="H167"/>
    </row>
    <row r="168" spans="6:8" x14ac:dyDescent="0.25">
      <c r="F168"/>
      <c r="G168"/>
      <c r="H168"/>
    </row>
    <row r="169" spans="6:8" x14ac:dyDescent="0.25">
      <c r="F169"/>
      <c r="G169"/>
      <c r="H169"/>
    </row>
    <row r="170" spans="6:8" x14ac:dyDescent="0.25">
      <c r="F170"/>
      <c r="G170"/>
      <c r="H170"/>
    </row>
    <row r="171" spans="6:8" x14ac:dyDescent="0.25">
      <c r="F171"/>
      <c r="G171"/>
      <c r="H171"/>
    </row>
    <row r="172" spans="6:8" x14ac:dyDescent="0.25">
      <c r="F172"/>
      <c r="G172"/>
      <c r="H172"/>
    </row>
    <row r="173" spans="6:8" x14ac:dyDescent="0.25">
      <c r="F173"/>
      <c r="G173"/>
      <c r="H173"/>
    </row>
    <row r="174" spans="6:8" x14ac:dyDescent="0.25">
      <c r="F174"/>
      <c r="G174"/>
      <c r="H174"/>
    </row>
    <row r="175" spans="6:8" x14ac:dyDescent="0.25">
      <c r="F175"/>
      <c r="G175"/>
      <c r="H175"/>
    </row>
    <row r="176" spans="6:8" x14ac:dyDescent="0.25">
      <c r="F176"/>
      <c r="G176"/>
      <c r="H176"/>
    </row>
    <row r="177" spans="6:8" x14ac:dyDescent="0.25">
      <c r="F177"/>
      <c r="G177"/>
      <c r="H177"/>
    </row>
    <row r="178" spans="6:8" x14ac:dyDescent="0.25">
      <c r="F178"/>
      <c r="G178"/>
      <c r="H178"/>
    </row>
    <row r="179" spans="6:8" x14ac:dyDescent="0.25">
      <c r="F179"/>
      <c r="G179"/>
      <c r="H179"/>
    </row>
    <row r="180" spans="6:8" x14ac:dyDescent="0.25">
      <c r="F180"/>
      <c r="G180"/>
      <c r="H180"/>
    </row>
    <row r="181" spans="6:8" x14ac:dyDescent="0.25">
      <c r="F181"/>
      <c r="G181"/>
      <c r="H181"/>
    </row>
    <row r="182" spans="6:8" x14ac:dyDescent="0.25">
      <c r="F182"/>
      <c r="G182"/>
      <c r="H182"/>
    </row>
    <row r="183" spans="6:8" x14ac:dyDescent="0.25">
      <c r="F183"/>
      <c r="G183"/>
      <c r="H183"/>
    </row>
    <row r="184" spans="6:8" x14ac:dyDescent="0.25">
      <c r="F184"/>
      <c r="G184"/>
      <c r="H184"/>
    </row>
    <row r="185" spans="6:8" x14ac:dyDescent="0.25">
      <c r="F185"/>
      <c r="G185"/>
      <c r="H185"/>
    </row>
    <row r="186" spans="6:8" x14ac:dyDescent="0.25">
      <c r="F186"/>
      <c r="G186"/>
      <c r="H186"/>
    </row>
    <row r="187" spans="6:8" x14ac:dyDescent="0.25">
      <c r="F187"/>
      <c r="G187"/>
      <c r="H187"/>
    </row>
    <row r="188" spans="6:8" x14ac:dyDescent="0.25">
      <c r="F188"/>
      <c r="G188"/>
      <c r="H188"/>
    </row>
    <row r="189" spans="6:8" x14ac:dyDescent="0.25">
      <c r="F189"/>
      <c r="G189"/>
      <c r="H189"/>
    </row>
    <row r="190" spans="6:8" x14ac:dyDescent="0.25">
      <c r="F190"/>
      <c r="G190"/>
      <c r="H190"/>
    </row>
    <row r="191" spans="6:8" x14ac:dyDescent="0.25">
      <c r="F191"/>
      <c r="G191"/>
      <c r="H191"/>
    </row>
    <row r="192" spans="6:8" x14ac:dyDescent="0.25">
      <c r="F192"/>
      <c r="G192"/>
      <c r="H192"/>
    </row>
    <row r="193" spans="6:8" x14ac:dyDescent="0.25">
      <c r="F193"/>
      <c r="G193"/>
      <c r="H193"/>
    </row>
    <row r="194" spans="6:8" x14ac:dyDescent="0.25">
      <c r="F194"/>
      <c r="G194"/>
      <c r="H194"/>
    </row>
    <row r="195" spans="6:8" x14ac:dyDescent="0.25">
      <c r="F195"/>
      <c r="G195"/>
      <c r="H195"/>
    </row>
    <row r="196" spans="6:8" x14ac:dyDescent="0.25">
      <c r="F196"/>
      <c r="G196"/>
      <c r="H196"/>
    </row>
    <row r="197" spans="6:8" x14ac:dyDescent="0.25">
      <c r="F197"/>
      <c r="G197"/>
      <c r="H197"/>
    </row>
    <row r="198" spans="6:8" x14ac:dyDescent="0.25">
      <c r="F198"/>
      <c r="G198"/>
      <c r="H198"/>
    </row>
    <row r="199" spans="6:8" x14ac:dyDescent="0.25">
      <c r="F199"/>
      <c r="G199"/>
      <c r="H199"/>
    </row>
    <row r="200" spans="6:8" x14ac:dyDescent="0.25">
      <c r="F200"/>
      <c r="G200"/>
      <c r="H200"/>
    </row>
    <row r="201" spans="6:8" x14ac:dyDescent="0.25">
      <c r="F201"/>
      <c r="G201"/>
      <c r="H201"/>
    </row>
    <row r="202" spans="6:8" x14ac:dyDescent="0.25">
      <c r="F202"/>
      <c r="G202"/>
      <c r="H202"/>
    </row>
    <row r="203" spans="6:8" x14ac:dyDescent="0.25">
      <c r="F203"/>
      <c r="G203"/>
      <c r="H203"/>
    </row>
    <row r="204" spans="6:8" x14ac:dyDescent="0.25">
      <c r="F204"/>
      <c r="G204"/>
      <c r="H204"/>
    </row>
    <row r="205" spans="6:8" x14ac:dyDescent="0.25">
      <c r="F205"/>
      <c r="G205"/>
      <c r="H205"/>
    </row>
    <row r="206" spans="6:8" x14ac:dyDescent="0.25">
      <c r="F206"/>
      <c r="G206"/>
      <c r="H206"/>
    </row>
    <row r="207" spans="6:8" x14ac:dyDescent="0.25">
      <c r="F207"/>
      <c r="G207"/>
      <c r="H207"/>
    </row>
    <row r="208" spans="6:8" x14ac:dyDescent="0.25">
      <c r="F208"/>
      <c r="G208"/>
      <c r="H208"/>
    </row>
    <row r="209" spans="6:8" x14ac:dyDescent="0.25">
      <c r="F209"/>
      <c r="G209"/>
      <c r="H209"/>
    </row>
    <row r="210" spans="6:8" x14ac:dyDescent="0.25">
      <c r="F210"/>
      <c r="G210"/>
      <c r="H210"/>
    </row>
    <row r="211" spans="6:8" x14ac:dyDescent="0.25">
      <c r="F211"/>
      <c r="G211"/>
      <c r="H211"/>
    </row>
    <row r="212" spans="6:8" x14ac:dyDescent="0.25">
      <c r="F212"/>
      <c r="G212"/>
      <c r="H212"/>
    </row>
    <row r="213" spans="6:8" x14ac:dyDescent="0.25">
      <c r="F213"/>
      <c r="G213"/>
      <c r="H213"/>
    </row>
    <row r="214" spans="6:8" x14ac:dyDescent="0.25">
      <c r="F214"/>
      <c r="G214"/>
      <c r="H214"/>
    </row>
    <row r="215" spans="6:8" x14ac:dyDescent="0.25">
      <c r="F215"/>
      <c r="G215"/>
      <c r="H215"/>
    </row>
    <row r="216" spans="6:8" x14ac:dyDescent="0.25">
      <c r="F216"/>
      <c r="G216"/>
      <c r="H216"/>
    </row>
    <row r="217" spans="6:8" x14ac:dyDescent="0.25">
      <c r="F217"/>
      <c r="G217"/>
      <c r="H217"/>
    </row>
    <row r="218" spans="6:8" x14ac:dyDescent="0.25">
      <c r="F218"/>
      <c r="G218"/>
      <c r="H218"/>
    </row>
    <row r="219" spans="6:8" x14ac:dyDescent="0.25">
      <c r="F219"/>
      <c r="G219"/>
      <c r="H219"/>
    </row>
    <row r="220" spans="6:8" x14ac:dyDescent="0.25">
      <c r="F220"/>
      <c r="G220"/>
      <c r="H220"/>
    </row>
    <row r="221" spans="6:8" x14ac:dyDescent="0.25">
      <c r="F221"/>
      <c r="G221"/>
      <c r="H221"/>
    </row>
    <row r="222" spans="6:8" x14ac:dyDescent="0.25">
      <c r="F222"/>
      <c r="G222"/>
      <c r="H222"/>
    </row>
    <row r="223" spans="6:8" x14ac:dyDescent="0.25">
      <c r="F223"/>
      <c r="G223"/>
      <c r="H223"/>
    </row>
    <row r="224" spans="6:8" x14ac:dyDescent="0.25">
      <c r="F224"/>
      <c r="G224"/>
      <c r="H224"/>
    </row>
    <row r="225" spans="6:8" x14ac:dyDescent="0.25">
      <c r="F225"/>
      <c r="G225"/>
      <c r="H225"/>
    </row>
    <row r="226" spans="6:8" x14ac:dyDescent="0.25">
      <c r="F226"/>
      <c r="G226"/>
      <c r="H226"/>
    </row>
    <row r="227" spans="6:8" x14ac:dyDescent="0.25">
      <c r="F227"/>
      <c r="G227"/>
      <c r="H227"/>
    </row>
    <row r="228" spans="6:8" x14ac:dyDescent="0.25">
      <c r="F228"/>
      <c r="G228"/>
      <c r="H228"/>
    </row>
    <row r="229" spans="6:8" x14ac:dyDescent="0.25">
      <c r="F229"/>
      <c r="G229"/>
      <c r="H229"/>
    </row>
    <row r="230" spans="6:8" x14ac:dyDescent="0.25">
      <c r="F230"/>
      <c r="G230"/>
      <c r="H230"/>
    </row>
    <row r="231" spans="6:8" x14ac:dyDescent="0.25">
      <c r="F231"/>
      <c r="G231"/>
      <c r="H231"/>
    </row>
    <row r="232" spans="6:8" x14ac:dyDescent="0.25">
      <c r="F232"/>
      <c r="G232"/>
      <c r="H232"/>
    </row>
    <row r="233" spans="6:8" x14ac:dyDescent="0.25">
      <c r="G233"/>
      <c r="H233"/>
    </row>
  </sheetData>
  <mergeCells count="3">
    <mergeCell ref="B1:G1"/>
    <mergeCell ref="B67:C67"/>
    <mergeCell ref="B68:C68"/>
  </mergeCells>
  <pageMargins left="0.511811024" right="0.511811024" top="0.78740157499999996" bottom="0.78740157499999996" header="0.31496062000000002" footer="0.31496062000000002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C055A-9F66-412F-B78B-A9AAF06734CC}">
  <dimension ref="A1:L226"/>
  <sheetViews>
    <sheetView topLeftCell="A8" zoomScaleNormal="100" workbookViewId="0">
      <selection activeCell="A30" sqref="A30:XFD30"/>
    </sheetView>
  </sheetViews>
  <sheetFormatPr defaultColWidth="9.140625" defaultRowHeight="15" x14ac:dyDescent="0.25"/>
  <cols>
    <col min="1" max="1" width="29.5703125" style="45" customWidth="1"/>
    <col min="2" max="2" width="45.28515625" style="45" customWidth="1"/>
    <col min="3" max="3" width="29.7109375" style="45" customWidth="1"/>
    <col min="4" max="4" width="21.42578125" style="45" customWidth="1"/>
    <col min="5" max="5" width="17.42578125" style="45" customWidth="1"/>
    <col min="6" max="6" width="16.42578125" style="45" customWidth="1"/>
    <col min="7" max="7" width="17.140625" style="45" customWidth="1"/>
    <col min="8" max="8" width="16.85546875" style="45" bestFit="1" customWidth="1"/>
    <col min="9" max="16384" width="9.140625" style="45"/>
  </cols>
  <sheetData>
    <row r="1" spans="1:8" customFormat="1" ht="21.75" customHeight="1" x14ac:dyDescent="0.25">
      <c r="A1" s="46"/>
      <c r="B1" s="112" t="s">
        <v>0</v>
      </c>
      <c r="C1" s="113"/>
      <c r="D1" s="113"/>
      <c r="E1" s="113"/>
      <c r="F1" s="113"/>
      <c r="G1" s="114"/>
      <c r="H1" s="47"/>
    </row>
    <row r="2" spans="1:8" customFormat="1" ht="30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3"/>
      <c r="F2" s="4" t="s">
        <v>5</v>
      </c>
      <c r="G2" s="5"/>
      <c r="H2" s="6"/>
    </row>
    <row r="3" spans="1:8" customFormat="1" ht="30.6" customHeight="1" x14ac:dyDescent="0.25">
      <c r="A3" s="7">
        <v>1</v>
      </c>
      <c r="B3" s="8" t="s">
        <v>6</v>
      </c>
      <c r="C3" s="8"/>
      <c r="D3" s="9">
        <v>45748</v>
      </c>
      <c r="E3" s="9"/>
      <c r="F3" s="10">
        <f>532.69+550</f>
        <v>1082.69</v>
      </c>
      <c r="G3" s="5"/>
      <c r="H3" s="6"/>
    </row>
    <row r="4" spans="1:8" customFormat="1" ht="30.6" customHeight="1" x14ac:dyDescent="0.25">
      <c r="A4" s="7">
        <v>2</v>
      </c>
      <c r="B4" s="8" t="s">
        <v>8</v>
      </c>
      <c r="C4" s="8" t="s">
        <v>9</v>
      </c>
      <c r="D4" s="9">
        <v>45748</v>
      </c>
      <c r="E4" s="9"/>
      <c r="F4" s="10">
        <v>39590</v>
      </c>
      <c r="G4" s="5"/>
      <c r="H4" s="11"/>
    </row>
    <row r="5" spans="1:8" customFormat="1" ht="30.6" customHeight="1" x14ac:dyDescent="0.25">
      <c r="A5" s="7">
        <v>3</v>
      </c>
      <c r="B5" s="8" t="s">
        <v>10</v>
      </c>
      <c r="C5" s="12" t="s">
        <v>11</v>
      </c>
      <c r="D5" s="9">
        <v>45748</v>
      </c>
      <c r="E5" s="9"/>
      <c r="F5" s="10">
        <v>39510.6</v>
      </c>
      <c r="G5" s="5"/>
      <c r="H5" s="11"/>
    </row>
    <row r="6" spans="1:8" customFormat="1" ht="30.6" customHeight="1" x14ac:dyDescent="0.25">
      <c r="A6" s="7">
        <v>4</v>
      </c>
      <c r="B6" s="8" t="s">
        <v>12</v>
      </c>
      <c r="C6" s="8"/>
      <c r="D6" s="9">
        <v>45748</v>
      </c>
      <c r="E6" s="9"/>
      <c r="F6" s="10">
        <v>359.34</v>
      </c>
      <c r="G6" s="5"/>
      <c r="H6" s="6"/>
    </row>
    <row r="7" spans="1:8" customFormat="1" ht="30.6" customHeight="1" x14ac:dyDescent="0.25">
      <c r="A7" s="7">
        <v>5</v>
      </c>
      <c r="B7" s="8" t="s">
        <v>13</v>
      </c>
      <c r="C7" s="8" t="s">
        <v>14</v>
      </c>
      <c r="D7" s="9">
        <v>45748</v>
      </c>
      <c r="E7" s="9"/>
      <c r="F7" s="13">
        <v>1518</v>
      </c>
      <c r="G7" s="5"/>
      <c r="H7" s="6"/>
    </row>
    <row r="8" spans="1:8" customFormat="1" ht="30.6" customHeight="1" x14ac:dyDescent="0.25">
      <c r="A8" s="7">
        <v>6</v>
      </c>
      <c r="B8" s="8" t="s">
        <v>15</v>
      </c>
      <c r="C8" s="8" t="s">
        <v>16</v>
      </c>
      <c r="D8" s="9">
        <v>45748</v>
      </c>
      <c r="E8" s="9"/>
      <c r="F8" s="13">
        <v>2500</v>
      </c>
      <c r="G8" s="5"/>
      <c r="H8" s="6"/>
    </row>
    <row r="9" spans="1:8" customFormat="1" ht="34.5" customHeight="1" x14ac:dyDescent="0.25">
      <c r="A9" s="7">
        <v>7</v>
      </c>
      <c r="B9" s="14" t="s">
        <v>17</v>
      </c>
      <c r="C9" s="12" t="s">
        <v>18</v>
      </c>
      <c r="D9" s="9">
        <v>45748</v>
      </c>
      <c r="E9" s="9"/>
      <c r="F9" s="13">
        <v>880</v>
      </c>
      <c r="G9" s="5"/>
      <c r="H9" s="6"/>
    </row>
    <row r="10" spans="1:8" customFormat="1" ht="30.6" customHeight="1" x14ac:dyDescent="0.25">
      <c r="A10" s="7">
        <v>8</v>
      </c>
      <c r="B10" s="14" t="s">
        <v>19</v>
      </c>
      <c r="C10" s="14" t="s">
        <v>20</v>
      </c>
      <c r="D10" s="9">
        <v>45748</v>
      </c>
      <c r="E10" s="9"/>
      <c r="F10" s="13">
        <v>160.66999999999999</v>
      </c>
      <c r="G10" s="5"/>
      <c r="H10" s="6"/>
    </row>
    <row r="11" spans="1:8" customFormat="1" ht="30.6" customHeight="1" x14ac:dyDescent="0.25">
      <c r="A11" s="7">
        <v>9</v>
      </c>
      <c r="B11" s="14" t="s">
        <v>149</v>
      </c>
      <c r="C11" s="14" t="s">
        <v>150</v>
      </c>
      <c r="D11" s="9">
        <v>45748</v>
      </c>
      <c r="E11" s="9"/>
      <c r="F11" s="13">
        <v>149.9</v>
      </c>
      <c r="G11" s="5"/>
      <c r="H11" s="6"/>
    </row>
    <row r="12" spans="1:8" customFormat="1" ht="30.6" customHeight="1" x14ac:dyDescent="0.25">
      <c r="A12" s="7">
        <v>10</v>
      </c>
      <c r="B12" s="14" t="s">
        <v>21</v>
      </c>
      <c r="C12" s="12" t="s">
        <v>22</v>
      </c>
      <c r="D12" s="9">
        <v>45748</v>
      </c>
      <c r="E12" s="9"/>
      <c r="F12" s="13">
        <v>385</v>
      </c>
      <c r="G12" s="5"/>
      <c r="H12" s="15"/>
    </row>
    <row r="13" spans="1:8" customFormat="1" ht="30.6" customHeight="1" x14ac:dyDescent="0.25">
      <c r="A13" s="7">
        <v>11</v>
      </c>
      <c r="B13" s="14" t="s">
        <v>23</v>
      </c>
      <c r="C13" s="8"/>
      <c r="D13" s="9">
        <v>45748</v>
      </c>
      <c r="E13" s="9"/>
      <c r="F13" s="13"/>
      <c r="G13" s="5"/>
      <c r="H13" s="6"/>
    </row>
    <row r="14" spans="1:8" customFormat="1" ht="31.5" customHeight="1" x14ac:dyDescent="0.25">
      <c r="A14" s="7">
        <v>12</v>
      </c>
      <c r="B14" s="14" t="s">
        <v>24</v>
      </c>
      <c r="C14" s="12" t="s">
        <v>25</v>
      </c>
      <c r="D14" s="9">
        <v>45748</v>
      </c>
      <c r="E14" s="9"/>
      <c r="F14" s="13">
        <v>322.89999999999998</v>
      </c>
      <c r="G14" s="5"/>
      <c r="H14" s="6"/>
    </row>
    <row r="15" spans="1:8" customFormat="1" ht="31.5" customHeight="1" x14ac:dyDescent="0.25">
      <c r="A15" s="7">
        <v>13</v>
      </c>
      <c r="B15" s="14" t="s">
        <v>164</v>
      </c>
      <c r="C15" s="12" t="s">
        <v>165</v>
      </c>
      <c r="D15" s="9">
        <v>45748</v>
      </c>
      <c r="E15" s="9"/>
      <c r="F15" s="13">
        <v>69.599999999999994</v>
      </c>
      <c r="G15" s="5"/>
      <c r="H15" s="6"/>
    </row>
    <row r="16" spans="1:8" customFormat="1" ht="42" customHeight="1" x14ac:dyDescent="0.25">
      <c r="A16" s="48"/>
      <c r="B16" s="49" t="s">
        <v>31</v>
      </c>
      <c r="C16" s="50"/>
      <c r="D16" s="51"/>
      <c r="E16" s="52"/>
      <c r="F16" s="53">
        <f>SUM(F3:F15)</f>
        <v>86528.7</v>
      </c>
      <c r="G16" s="54"/>
      <c r="H16" s="55"/>
    </row>
    <row r="17" spans="1:12" customFormat="1" ht="21.75" customHeight="1" x14ac:dyDescent="0.25">
      <c r="A17" s="16" t="s">
        <v>32</v>
      </c>
      <c r="B17" s="17" t="s">
        <v>33</v>
      </c>
      <c r="C17" s="18" t="s">
        <v>34</v>
      </c>
      <c r="D17" s="16" t="s">
        <v>35</v>
      </c>
      <c r="E17" s="16" t="s">
        <v>36</v>
      </c>
      <c r="F17" s="16" t="s">
        <v>37</v>
      </c>
      <c r="G17" s="19" t="s">
        <v>38</v>
      </c>
      <c r="H17" s="18" t="s">
        <v>39</v>
      </c>
    </row>
    <row r="18" spans="1:12" s="72" customFormat="1" ht="15" customHeight="1" x14ac:dyDescent="0.25">
      <c r="A18" s="65" t="s">
        <v>40</v>
      </c>
      <c r="B18" s="66" t="s">
        <v>41</v>
      </c>
      <c r="C18" s="67" t="s">
        <v>42</v>
      </c>
      <c r="D18" s="68">
        <v>4016</v>
      </c>
      <c r="E18" s="69">
        <f>D18/$D$60</f>
        <v>1.3299610959886176E-2</v>
      </c>
      <c r="F18" s="70">
        <f>$F$16*E18</f>
        <v>1150.7980468647029</v>
      </c>
      <c r="G18" s="71">
        <f>F18*5%</f>
        <v>57.539902343235148</v>
      </c>
      <c r="H18" s="71">
        <f t="shared" ref="H18:H59" si="0">F18+G18</f>
        <v>1208.337949207938</v>
      </c>
    </row>
    <row r="19" spans="1:12" s="74" customFormat="1" x14ac:dyDescent="0.25">
      <c r="A19" s="65" t="s">
        <v>43</v>
      </c>
      <c r="B19" s="73" t="s">
        <v>44</v>
      </c>
      <c r="C19" s="67">
        <v>18778225000139</v>
      </c>
      <c r="D19" s="68">
        <v>8711.2199999999993</v>
      </c>
      <c r="E19" s="69">
        <f t="shared" ref="E19:E59" si="1">D19/$D$60</f>
        <v>2.8848564986548714E-2</v>
      </c>
      <c r="F19" s="70">
        <f t="shared" ref="F19:F59" si="2">$F$16*E19</f>
        <v>2496.2288251515774</v>
      </c>
      <c r="G19" s="71">
        <f t="shared" ref="G19:G59" si="3">F19*5%</f>
        <v>124.81144125757888</v>
      </c>
      <c r="H19" s="71">
        <f t="shared" si="0"/>
        <v>2621.0402664091562</v>
      </c>
    </row>
    <row r="20" spans="1:12" s="74" customFormat="1" x14ac:dyDescent="0.25">
      <c r="A20" s="65" t="s">
        <v>45</v>
      </c>
      <c r="B20" s="73" t="s">
        <v>46</v>
      </c>
      <c r="C20" s="67">
        <v>41993875000119</v>
      </c>
      <c r="D20" s="68">
        <v>3641.8</v>
      </c>
      <c r="E20" s="69">
        <f t="shared" si="1"/>
        <v>1.206038924146252E-2</v>
      </c>
      <c r="F20" s="70">
        <f t="shared" si="2"/>
        <v>1043.5698025577378</v>
      </c>
      <c r="G20" s="71">
        <f t="shared" si="3"/>
        <v>52.178490127886896</v>
      </c>
      <c r="H20" s="71">
        <f t="shared" si="0"/>
        <v>1095.7482926856246</v>
      </c>
    </row>
    <row r="21" spans="1:12" s="74" customFormat="1" x14ac:dyDescent="0.25">
      <c r="A21" s="65" t="s">
        <v>47</v>
      </c>
      <c r="B21" s="66" t="s">
        <v>48</v>
      </c>
      <c r="C21" s="67">
        <v>24781302000102</v>
      </c>
      <c r="D21" s="68">
        <v>3430</v>
      </c>
      <c r="E21" s="69">
        <f t="shared" si="1"/>
        <v>1.1358980476197605E-2</v>
      </c>
      <c r="F21" s="70">
        <f t="shared" si="2"/>
        <v>982.87781393075966</v>
      </c>
      <c r="G21" s="71">
        <f t="shared" si="3"/>
        <v>49.143890696537987</v>
      </c>
      <c r="H21" s="71">
        <f t="shared" si="0"/>
        <v>1032.0217046272976</v>
      </c>
    </row>
    <row r="22" spans="1:12" customFormat="1" x14ac:dyDescent="0.25">
      <c r="A22" s="20" t="s">
        <v>161</v>
      </c>
      <c r="B22" s="66" t="s">
        <v>162</v>
      </c>
      <c r="C22" s="22" t="s">
        <v>163</v>
      </c>
      <c r="D22" s="23">
        <v>9403</v>
      </c>
      <c r="E22" s="69">
        <f t="shared" si="1"/>
        <v>3.1139502454135885E-2</v>
      </c>
      <c r="F22" s="70">
        <f t="shared" si="2"/>
        <v>2694.4606660031877</v>
      </c>
      <c r="G22" s="26">
        <f t="shared" si="3"/>
        <v>134.72303330015939</v>
      </c>
      <c r="H22" s="26">
        <f t="shared" si="0"/>
        <v>2829.1836993033471</v>
      </c>
    </row>
    <row r="23" spans="1:12" s="74" customFormat="1" x14ac:dyDescent="0.25">
      <c r="A23" s="65" t="s">
        <v>49</v>
      </c>
      <c r="B23" s="66" t="s">
        <v>50</v>
      </c>
      <c r="C23" s="67">
        <v>38649716000197</v>
      </c>
      <c r="D23" s="68">
        <v>3440</v>
      </c>
      <c r="E23" s="69">
        <f t="shared" si="1"/>
        <v>1.1392097037352699E-2</v>
      </c>
      <c r="F23" s="70">
        <f t="shared" si="2"/>
        <v>985.74334691598051</v>
      </c>
      <c r="G23" s="71">
        <f t="shared" si="3"/>
        <v>49.287167345799027</v>
      </c>
      <c r="H23" s="71">
        <f t="shared" si="0"/>
        <v>1035.0305142617794</v>
      </c>
    </row>
    <row r="24" spans="1:12" s="74" customFormat="1" x14ac:dyDescent="0.25">
      <c r="A24" s="65" t="s">
        <v>51</v>
      </c>
      <c r="B24" s="66" t="s">
        <v>52</v>
      </c>
      <c r="C24" s="67" t="s">
        <v>53</v>
      </c>
      <c r="D24" s="68">
        <v>4056</v>
      </c>
      <c r="E24" s="69">
        <f t="shared" si="1"/>
        <v>1.3432077204506556E-2</v>
      </c>
      <c r="F24" s="70">
        <f t="shared" si="2"/>
        <v>1162.2601788055865</v>
      </c>
      <c r="G24" s="71">
        <f t="shared" si="3"/>
        <v>58.113008940279329</v>
      </c>
      <c r="H24" s="71">
        <f t="shared" si="0"/>
        <v>1220.3731877458658</v>
      </c>
    </row>
    <row r="25" spans="1:12" s="74" customFormat="1" x14ac:dyDescent="0.25">
      <c r="A25" s="65" t="s">
        <v>54</v>
      </c>
      <c r="B25" s="66" t="s">
        <v>55</v>
      </c>
      <c r="C25" s="67" t="s">
        <v>56</v>
      </c>
      <c r="D25" s="68">
        <v>11580</v>
      </c>
      <c r="E25" s="69">
        <f t="shared" si="1"/>
        <v>3.8348977817600077E-2</v>
      </c>
      <c r="F25" s="70">
        <f t="shared" si="2"/>
        <v>3318.2871968857717</v>
      </c>
      <c r="G25" s="71">
        <f t="shared" si="3"/>
        <v>165.91435984428858</v>
      </c>
      <c r="H25" s="71">
        <f t="shared" si="0"/>
        <v>3484.2015567300605</v>
      </c>
    </row>
    <row r="26" spans="1:12" s="74" customFormat="1" x14ac:dyDescent="0.25">
      <c r="A26" s="65" t="s">
        <v>57</v>
      </c>
      <c r="B26" s="66" t="s">
        <v>58</v>
      </c>
      <c r="C26" s="67" t="s">
        <v>59</v>
      </c>
      <c r="D26" s="68">
        <f>360+360+1510</f>
        <v>2230</v>
      </c>
      <c r="E26" s="69">
        <f t="shared" si="1"/>
        <v>7.3849931375861979E-3</v>
      </c>
      <c r="F26" s="70">
        <f t="shared" si="2"/>
        <v>639.01385570425487</v>
      </c>
      <c r="G26" s="71">
        <f t="shared" si="3"/>
        <v>31.950692785212745</v>
      </c>
      <c r="H26" s="71">
        <f t="shared" si="0"/>
        <v>670.96454848946757</v>
      </c>
    </row>
    <row r="27" spans="1:12" s="79" customFormat="1" ht="15.75" customHeight="1" x14ac:dyDescent="0.25">
      <c r="A27" s="65" t="s">
        <v>60</v>
      </c>
      <c r="B27" s="75" t="s">
        <v>61</v>
      </c>
      <c r="C27" s="76" t="s">
        <v>62</v>
      </c>
      <c r="D27" s="68">
        <f>5224+3930</f>
        <v>9154</v>
      </c>
      <c r="E27" s="69">
        <f t="shared" si="1"/>
        <v>3.0314900081374017E-2</v>
      </c>
      <c r="F27" s="70">
        <f t="shared" si="2"/>
        <v>2623.108894671188</v>
      </c>
      <c r="G27" s="71">
        <f t="shared" si="3"/>
        <v>131.15544473355939</v>
      </c>
      <c r="H27" s="77">
        <f t="shared" si="0"/>
        <v>2754.2643394047473</v>
      </c>
      <c r="I27" s="78" t="s">
        <v>63</v>
      </c>
      <c r="L27" s="79" t="s">
        <v>64</v>
      </c>
    </row>
    <row r="28" spans="1:12" s="74" customFormat="1" ht="15.75" customHeight="1" x14ac:dyDescent="0.25">
      <c r="A28" s="65" t="s">
        <v>65</v>
      </c>
      <c r="B28" s="73" t="s">
        <v>66</v>
      </c>
      <c r="C28" s="67" t="s">
        <v>67</v>
      </c>
      <c r="D28" s="68">
        <v>2610</v>
      </c>
      <c r="E28" s="69">
        <f t="shared" si="1"/>
        <v>8.6434224614798105E-3</v>
      </c>
      <c r="F28" s="70">
        <f t="shared" si="2"/>
        <v>747.90410914264805</v>
      </c>
      <c r="G28" s="71">
        <f t="shared" si="3"/>
        <v>37.395205457132406</v>
      </c>
      <c r="H28" s="71">
        <f t="shared" si="0"/>
        <v>785.29931459978047</v>
      </c>
    </row>
    <row r="29" spans="1:12" s="74" customFormat="1" ht="15.75" customHeight="1" x14ac:dyDescent="0.25">
      <c r="A29" s="65" t="s">
        <v>68</v>
      </c>
      <c r="B29" s="73" t="s">
        <v>69</v>
      </c>
      <c r="C29" s="67" t="s">
        <v>70</v>
      </c>
      <c r="D29" s="68">
        <v>5515</v>
      </c>
      <c r="E29" s="69">
        <f t="shared" si="1"/>
        <v>1.8263783477034924E-2</v>
      </c>
      <c r="F29" s="70">
        <f t="shared" si="2"/>
        <v>1580.3414413493117</v>
      </c>
      <c r="G29" s="71">
        <f t="shared" si="3"/>
        <v>79.017072067465591</v>
      </c>
      <c r="H29" s="71">
        <f t="shared" si="0"/>
        <v>1659.3585134167772</v>
      </c>
    </row>
    <row r="30" spans="1:12" s="74" customFormat="1" ht="15.75" customHeight="1" x14ac:dyDescent="0.25">
      <c r="A30" s="65" t="s">
        <v>71</v>
      </c>
      <c r="B30" s="66" t="s">
        <v>72</v>
      </c>
      <c r="C30" s="67">
        <v>17202383000183</v>
      </c>
      <c r="D30" s="68">
        <v>15332</v>
      </c>
      <c r="E30" s="69">
        <f t="shared" si="1"/>
        <v>5.0774311562991746E-2</v>
      </c>
      <c r="F30" s="70">
        <f t="shared" si="2"/>
        <v>4393.4351729406435</v>
      </c>
      <c r="G30" s="71">
        <f t="shared" si="3"/>
        <v>219.67175864703219</v>
      </c>
      <c r="H30" s="71">
        <f t="shared" si="0"/>
        <v>4613.1069315876757</v>
      </c>
    </row>
    <row r="31" spans="1:12" s="74" customFormat="1" ht="15.75" customHeight="1" x14ac:dyDescent="0.25">
      <c r="A31" s="65" t="s">
        <v>73</v>
      </c>
      <c r="B31" s="66" t="s">
        <v>74</v>
      </c>
      <c r="C31" s="67">
        <v>18183488000103</v>
      </c>
      <c r="D31" s="68">
        <v>7238</v>
      </c>
      <c r="E31" s="69">
        <f t="shared" si="1"/>
        <v>2.3969766964057802E-2</v>
      </c>
      <c r="F31" s="70">
        <f t="shared" si="2"/>
        <v>2074.0727747028682</v>
      </c>
      <c r="G31" s="71">
        <f t="shared" si="3"/>
        <v>103.70363873514341</v>
      </c>
      <c r="H31" s="71">
        <f t="shared" si="0"/>
        <v>2177.7764134380118</v>
      </c>
    </row>
    <row r="32" spans="1:12" s="74" customFormat="1" x14ac:dyDescent="0.25">
      <c r="A32" s="65" t="s">
        <v>75</v>
      </c>
      <c r="B32" s="66" t="s">
        <v>76</v>
      </c>
      <c r="C32" s="67">
        <v>18244070000150</v>
      </c>
      <c r="D32" s="68">
        <v>5941</v>
      </c>
      <c r="E32" s="69">
        <f t="shared" si="1"/>
        <v>1.9674548982241975E-2</v>
      </c>
      <c r="F32" s="70">
        <f t="shared" si="2"/>
        <v>1702.4131465197211</v>
      </c>
      <c r="G32" s="71">
        <f t="shared" si="3"/>
        <v>85.120657325986059</v>
      </c>
      <c r="H32" s="71">
        <f t="shared" si="0"/>
        <v>1787.5338038457071</v>
      </c>
    </row>
    <row r="33" spans="1:12" s="74" customFormat="1" x14ac:dyDescent="0.25">
      <c r="A33" s="65" t="s">
        <v>77</v>
      </c>
      <c r="B33" s="66" t="s">
        <v>78</v>
      </c>
      <c r="C33" s="67">
        <v>18244039000110</v>
      </c>
      <c r="D33" s="68">
        <v>4460</v>
      </c>
      <c r="E33" s="69">
        <f t="shared" si="1"/>
        <v>1.4769986275172396E-2</v>
      </c>
      <c r="F33" s="70">
        <f t="shared" si="2"/>
        <v>1278.0277114085097</v>
      </c>
      <c r="G33" s="71">
        <f t="shared" si="3"/>
        <v>63.901385570425489</v>
      </c>
      <c r="H33" s="71">
        <f t="shared" si="0"/>
        <v>1341.9290969789351</v>
      </c>
    </row>
    <row r="34" spans="1:12" s="74" customFormat="1" x14ac:dyDescent="0.25">
      <c r="A34" s="65" t="s">
        <v>79</v>
      </c>
      <c r="B34" s="66" t="s">
        <v>153</v>
      </c>
      <c r="C34" s="67" t="s">
        <v>154</v>
      </c>
      <c r="D34" s="68">
        <v>4415</v>
      </c>
      <c r="E34" s="69">
        <f t="shared" si="1"/>
        <v>1.4620961749974468E-2</v>
      </c>
      <c r="F34" s="70">
        <f t="shared" si="2"/>
        <v>1265.1328129750157</v>
      </c>
      <c r="G34" s="71">
        <f t="shared" si="3"/>
        <v>63.256640648750789</v>
      </c>
      <c r="H34" s="71">
        <f t="shared" si="0"/>
        <v>1328.3894536237665</v>
      </c>
    </row>
    <row r="35" spans="1:12" s="74" customFormat="1" x14ac:dyDescent="0.25">
      <c r="A35" s="65" t="s">
        <v>81</v>
      </c>
      <c r="B35" s="66" t="s">
        <v>82</v>
      </c>
      <c r="C35" s="67" t="s">
        <v>83</v>
      </c>
      <c r="D35" s="68">
        <v>8673</v>
      </c>
      <c r="E35" s="69">
        <f t="shared" si="1"/>
        <v>2.8721993489813944E-2</v>
      </c>
      <c r="F35" s="70">
        <f t="shared" si="2"/>
        <v>2485.2767580820637</v>
      </c>
      <c r="G35" s="71">
        <f t="shared" si="3"/>
        <v>124.26383790410318</v>
      </c>
      <c r="H35" s="71">
        <f t="shared" si="0"/>
        <v>2609.5405959861669</v>
      </c>
    </row>
    <row r="36" spans="1:12" s="74" customFormat="1" x14ac:dyDescent="0.25">
      <c r="A36" s="65" t="s">
        <v>84</v>
      </c>
      <c r="B36" s="66" t="s">
        <v>155</v>
      </c>
      <c r="C36" s="67" t="s">
        <v>86</v>
      </c>
      <c r="D36" s="68">
        <v>9239</v>
      </c>
      <c r="E36" s="69">
        <f t="shared" si="1"/>
        <v>3.0596390851192326E-2</v>
      </c>
      <c r="F36" s="70">
        <f t="shared" si="2"/>
        <v>2647.4659250455652</v>
      </c>
      <c r="G36" s="71">
        <f t="shared" si="3"/>
        <v>132.37329625227827</v>
      </c>
      <c r="H36" s="71">
        <f t="shared" si="0"/>
        <v>2779.8392212978433</v>
      </c>
    </row>
    <row r="37" spans="1:12" s="74" customFormat="1" x14ac:dyDescent="0.25">
      <c r="A37" s="65" t="s">
        <v>87</v>
      </c>
      <c r="B37" s="66" t="s">
        <v>88</v>
      </c>
      <c r="C37" s="67" t="s">
        <v>89</v>
      </c>
      <c r="D37" s="68">
        <v>4892</v>
      </c>
      <c r="E37" s="69">
        <f t="shared" si="1"/>
        <v>1.6200621717072504E-2</v>
      </c>
      <c r="F37" s="70">
        <f t="shared" si="2"/>
        <v>1401.8187363700515</v>
      </c>
      <c r="G37" s="71">
        <f t="shared" si="3"/>
        <v>70.090936818502584</v>
      </c>
      <c r="H37" s="71">
        <f t="shared" si="0"/>
        <v>1471.9096731885541</v>
      </c>
    </row>
    <row r="38" spans="1:12" s="74" customFormat="1" x14ac:dyDescent="0.25">
      <c r="A38" s="65" t="s">
        <v>90</v>
      </c>
      <c r="B38" s="66" t="s">
        <v>91</v>
      </c>
      <c r="C38" s="67">
        <v>41497649000147</v>
      </c>
      <c r="D38" s="68">
        <v>2526</v>
      </c>
      <c r="E38" s="69">
        <f t="shared" si="1"/>
        <v>8.3652433477770117E-3</v>
      </c>
      <c r="F38" s="70">
        <f t="shared" si="2"/>
        <v>723.83363206679269</v>
      </c>
      <c r="G38" s="71">
        <f t="shared" si="3"/>
        <v>36.191681603339639</v>
      </c>
      <c r="H38" s="71">
        <f t="shared" si="0"/>
        <v>760.02531367013228</v>
      </c>
    </row>
    <row r="39" spans="1:12" s="74" customFormat="1" x14ac:dyDescent="0.25">
      <c r="A39" s="65" t="s">
        <v>92</v>
      </c>
      <c r="B39" s="66" t="s">
        <v>93</v>
      </c>
      <c r="C39" s="67">
        <v>40580071000125</v>
      </c>
      <c r="D39" s="68">
        <v>3600</v>
      </c>
      <c r="E39" s="69">
        <f t="shared" si="1"/>
        <v>1.1921962015834221E-2</v>
      </c>
      <c r="F39" s="70">
        <f t="shared" si="2"/>
        <v>1031.5918746795144</v>
      </c>
      <c r="G39" s="71">
        <f t="shared" si="3"/>
        <v>51.57959373397572</v>
      </c>
      <c r="H39" s="71">
        <f t="shared" si="0"/>
        <v>1083.1714684134902</v>
      </c>
      <c r="I39" s="78" t="s">
        <v>63</v>
      </c>
      <c r="L39" s="74" t="s">
        <v>94</v>
      </c>
    </row>
    <row r="40" spans="1:12" s="74" customFormat="1" x14ac:dyDescent="0.25">
      <c r="A40" s="65" t="s">
        <v>95</v>
      </c>
      <c r="B40" s="66" t="s">
        <v>96</v>
      </c>
      <c r="C40" s="67" t="s">
        <v>97</v>
      </c>
      <c r="D40" s="68">
        <v>3938</v>
      </c>
      <c r="E40" s="69">
        <f t="shared" si="1"/>
        <v>1.3041301782876434E-2</v>
      </c>
      <c r="F40" s="70">
        <f t="shared" si="2"/>
        <v>1128.4468895799801</v>
      </c>
      <c r="G40" s="71">
        <f t="shared" si="3"/>
        <v>56.422344478999008</v>
      </c>
      <c r="H40" s="71">
        <f t="shared" si="0"/>
        <v>1184.8692340589791</v>
      </c>
    </row>
    <row r="41" spans="1:12" s="74" customFormat="1" x14ac:dyDescent="0.25">
      <c r="A41" s="65" t="s">
        <v>98</v>
      </c>
      <c r="B41" s="66" t="s">
        <v>99</v>
      </c>
      <c r="C41" s="67">
        <v>18788190000119</v>
      </c>
      <c r="D41" s="68">
        <v>3707</v>
      </c>
      <c r="E41" s="69">
        <f t="shared" si="1"/>
        <v>1.2276309220193739E-2</v>
      </c>
      <c r="F41" s="70">
        <f t="shared" si="2"/>
        <v>1062.253077621378</v>
      </c>
      <c r="G41" s="71">
        <f t="shared" si="3"/>
        <v>53.112653881068901</v>
      </c>
      <c r="H41" s="71">
        <f t="shared" si="0"/>
        <v>1115.3657315024468</v>
      </c>
    </row>
    <row r="42" spans="1:12" s="74" customFormat="1" x14ac:dyDescent="0.25">
      <c r="A42" s="65" t="s">
        <v>100</v>
      </c>
      <c r="B42" s="66" t="s">
        <v>101</v>
      </c>
      <c r="C42" s="67">
        <v>42109766000159</v>
      </c>
      <c r="D42" s="68">
        <v>5117</v>
      </c>
      <c r="E42" s="69">
        <f t="shared" si="1"/>
        <v>1.694574434306214E-2</v>
      </c>
      <c r="F42" s="70">
        <f t="shared" si="2"/>
        <v>1466.2932285375209</v>
      </c>
      <c r="G42" s="71">
        <f t="shared" si="3"/>
        <v>73.314661426876043</v>
      </c>
      <c r="H42" s="71">
        <f t="shared" si="0"/>
        <v>1539.6078899643969</v>
      </c>
    </row>
    <row r="43" spans="1:12" s="74" customFormat="1" x14ac:dyDescent="0.25">
      <c r="A43" s="65" t="s">
        <v>102</v>
      </c>
      <c r="B43" s="66" t="s">
        <v>99</v>
      </c>
      <c r="C43" s="67">
        <v>18788190000119</v>
      </c>
      <c r="D43" s="68">
        <v>14717</v>
      </c>
      <c r="E43" s="69">
        <f t="shared" si="1"/>
        <v>4.8737643051953397E-2</v>
      </c>
      <c r="F43" s="70">
        <f t="shared" si="2"/>
        <v>4217.2048943495602</v>
      </c>
      <c r="G43" s="71">
        <f t="shared" si="3"/>
        <v>210.86024471747803</v>
      </c>
      <c r="H43" s="71">
        <f t="shared" si="0"/>
        <v>4428.0651390670382</v>
      </c>
    </row>
    <row r="44" spans="1:12" s="74" customFormat="1" ht="13.5" customHeight="1" x14ac:dyDescent="0.25">
      <c r="A44" s="65" t="s">
        <v>103</v>
      </c>
      <c r="B44" s="66" t="s">
        <v>104</v>
      </c>
      <c r="C44" s="67">
        <v>32302613000170</v>
      </c>
      <c r="D44" s="68">
        <v>5439</v>
      </c>
      <c r="E44" s="69">
        <f t="shared" si="1"/>
        <v>1.8012097612256202E-2</v>
      </c>
      <c r="F44" s="70">
        <f t="shared" si="2"/>
        <v>1558.5633906616331</v>
      </c>
      <c r="G44" s="71">
        <f t="shared" si="3"/>
        <v>77.928169533081658</v>
      </c>
      <c r="H44" s="71">
        <f t="shared" si="0"/>
        <v>1636.4915601947148</v>
      </c>
    </row>
    <row r="45" spans="1:12" s="74" customFormat="1" x14ac:dyDescent="0.25">
      <c r="A45" s="65" t="s">
        <v>105</v>
      </c>
      <c r="B45" s="66" t="s">
        <v>106</v>
      </c>
      <c r="C45" s="67">
        <v>28616552000148</v>
      </c>
      <c r="D45" s="68">
        <v>4123.71</v>
      </c>
      <c r="E45" s="69">
        <f t="shared" si="1"/>
        <v>1.3656309440087704E-2</v>
      </c>
      <c r="F45" s="70">
        <f t="shared" si="2"/>
        <v>1181.6627026485169</v>
      </c>
      <c r="G45" s="71">
        <f t="shared" si="3"/>
        <v>59.083135132425845</v>
      </c>
      <c r="H45" s="71">
        <f t="shared" si="0"/>
        <v>1240.7458377809428</v>
      </c>
    </row>
    <row r="46" spans="1:12" s="74" customFormat="1" x14ac:dyDescent="0.25">
      <c r="A46" s="65" t="s">
        <v>107</v>
      </c>
      <c r="B46" s="66" t="s">
        <v>108</v>
      </c>
      <c r="C46" s="67">
        <v>42579914000107</v>
      </c>
      <c r="D46" s="68">
        <v>4986.3599999999997</v>
      </c>
      <c r="E46" s="69">
        <f t="shared" si="1"/>
        <v>1.6513109588131979E-2</v>
      </c>
      <c r="F46" s="70">
        <f t="shared" si="2"/>
        <v>1428.8579056185954</v>
      </c>
      <c r="G46" s="71">
        <f t="shared" si="3"/>
        <v>71.442895280929775</v>
      </c>
      <c r="H46" s="71">
        <f t="shared" si="0"/>
        <v>1500.3008008995253</v>
      </c>
    </row>
    <row r="47" spans="1:12" s="74" customFormat="1" x14ac:dyDescent="0.25">
      <c r="A47" s="65" t="s">
        <v>109</v>
      </c>
      <c r="B47" s="66" t="s">
        <v>110</v>
      </c>
      <c r="C47" s="67" t="s">
        <v>111</v>
      </c>
      <c r="D47" s="68">
        <v>7462</v>
      </c>
      <c r="E47" s="69">
        <f t="shared" si="1"/>
        <v>2.4711577933931934E-2</v>
      </c>
      <c r="F47" s="70">
        <f t="shared" si="2"/>
        <v>2138.2607135718163</v>
      </c>
      <c r="G47" s="71">
        <f t="shared" si="3"/>
        <v>106.91303567859082</v>
      </c>
      <c r="H47" s="71">
        <f t="shared" si="0"/>
        <v>2245.1737492504071</v>
      </c>
    </row>
    <row r="48" spans="1:12" s="74" customFormat="1" x14ac:dyDescent="0.25">
      <c r="A48" s="65" t="s">
        <v>112</v>
      </c>
      <c r="B48" s="66" t="s">
        <v>113</v>
      </c>
      <c r="C48" s="67" t="s">
        <v>114</v>
      </c>
      <c r="D48" s="68">
        <v>5525</v>
      </c>
      <c r="E48" s="69">
        <f t="shared" si="1"/>
        <v>1.8296900038190018E-2</v>
      </c>
      <c r="F48" s="70">
        <f t="shared" si="2"/>
        <v>1583.2069743345326</v>
      </c>
      <c r="G48" s="71">
        <f t="shared" si="3"/>
        <v>79.160348716726631</v>
      </c>
      <c r="H48" s="71">
        <f t="shared" si="0"/>
        <v>1662.3673230512593</v>
      </c>
    </row>
    <row r="49" spans="1:8" s="74" customFormat="1" x14ac:dyDescent="0.25">
      <c r="A49" s="65" t="s">
        <v>115</v>
      </c>
      <c r="B49" s="66" t="s">
        <v>116</v>
      </c>
      <c r="C49" s="67">
        <v>26480299000112</v>
      </c>
      <c r="D49" s="68"/>
      <c r="E49" s="69">
        <f t="shared" si="1"/>
        <v>0</v>
      </c>
      <c r="F49" s="70">
        <f t="shared" si="2"/>
        <v>0</v>
      </c>
      <c r="G49" s="71">
        <f t="shared" si="3"/>
        <v>0</v>
      </c>
      <c r="H49" s="71">
        <f t="shared" si="0"/>
        <v>0</v>
      </c>
    </row>
    <row r="50" spans="1:8" s="74" customFormat="1" x14ac:dyDescent="0.25">
      <c r="A50" s="65" t="s">
        <v>117</v>
      </c>
      <c r="B50" s="66" t="s">
        <v>118</v>
      </c>
      <c r="C50" s="67" t="s">
        <v>119</v>
      </c>
      <c r="D50" s="68">
        <v>4943</v>
      </c>
      <c r="E50" s="69">
        <f t="shared" si="1"/>
        <v>1.6369516178963487E-2</v>
      </c>
      <c r="F50" s="70">
        <f t="shared" si="2"/>
        <v>1416.4329545946778</v>
      </c>
      <c r="G50" s="71">
        <f t="shared" si="3"/>
        <v>70.821647729733897</v>
      </c>
      <c r="H50" s="71">
        <f t="shared" si="0"/>
        <v>1487.2546023244117</v>
      </c>
    </row>
    <row r="51" spans="1:8" s="74" customFormat="1" x14ac:dyDescent="0.25">
      <c r="A51" s="65" t="s">
        <v>120</v>
      </c>
      <c r="B51" s="66" t="s">
        <v>121</v>
      </c>
      <c r="C51" s="67">
        <v>12997366000166</v>
      </c>
      <c r="D51" s="68">
        <v>5160</v>
      </c>
      <c r="E51" s="69">
        <f t="shared" si="1"/>
        <v>1.7088145556029052E-2</v>
      </c>
      <c r="F51" s="70">
        <f t="shared" si="2"/>
        <v>1478.615020373971</v>
      </c>
      <c r="G51" s="71">
        <f t="shared" si="3"/>
        <v>73.930751018698558</v>
      </c>
      <c r="H51" s="71">
        <f t="shared" si="0"/>
        <v>1552.5457713926696</v>
      </c>
    </row>
    <row r="52" spans="1:8" s="74" customFormat="1" ht="16.5" customHeight="1" x14ac:dyDescent="0.25">
      <c r="A52" s="65" t="s">
        <v>122</v>
      </c>
      <c r="B52" s="66" t="s">
        <v>123</v>
      </c>
      <c r="C52" s="67" t="s">
        <v>124</v>
      </c>
      <c r="D52" s="68">
        <v>6586</v>
      </c>
      <c r="E52" s="69">
        <f t="shared" si="1"/>
        <v>2.1810567176745607E-2</v>
      </c>
      <c r="F52" s="70">
        <f t="shared" si="2"/>
        <v>1887.2400240664676</v>
      </c>
      <c r="G52" s="71">
        <f t="shared" si="3"/>
        <v>94.362001203323388</v>
      </c>
      <c r="H52" s="71">
        <f t="shared" si="0"/>
        <v>1981.6020252697911</v>
      </c>
    </row>
    <row r="53" spans="1:8" customFormat="1" x14ac:dyDescent="0.25">
      <c r="A53" s="20" t="s">
        <v>125</v>
      </c>
      <c r="B53" s="21" t="s">
        <v>126</v>
      </c>
      <c r="C53" s="22">
        <v>11884518000151</v>
      </c>
      <c r="D53" s="23">
        <v>5644</v>
      </c>
      <c r="E53" s="24">
        <f t="shared" si="1"/>
        <v>1.8690987115935653E-2</v>
      </c>
      <c r="F53" s="25">
        <f t="shared" si="2"/>
        <v>1617.3068168586613</v>
      </c>
      <c r="G53" s="26">
        <f t="shared" si="3"/>
        <v>80.865340842933065</v>
      </c>
      <c r="H53" s="26">
        <f t="shared" si="0"/>
        <v>1698.1721577015944</v>
      </c>
    </row>
    <row r="54" spans="1:8" s="74" customFormat="1" x14ac:dyDescent="0.25">
      <c r="A54" s="65" t="s">
        <v>127</v>
      </c>
      <c r="B54" s="66" t="s">
        <v>128</v>
      </c>
      <c r="C54" s="67">
        <v>36188051000136</v>
      </c>
      <c r="D54" s="68">
        <v>6936</v>
      </c>
      <c r="E54" s="69">
        <f t="shared" si="1"/>
        <v>2.2969646817173933E-2</v>
      </c>
      <c r="F54" s="70">
        <f t="shared" si="2"/>
        <v>1987.5336785491979</v>
      </c>
      <c r="G54" s="71">
        <f t="shared" si="3"/>
        <v>99.376683927459908</v>
      </c>
      <c r="H54" s="71">
        <f t="shared" si="0"/>
        <v>2086.9103624766576</v>
      </c>
    </row>
    <row r="55" spans="1:8" s="74" customFormat="1" x14ac:dyDescent="0.25">
      <c r="A55" s="65" t="s">
        <v>129</v>
      </c>
      <c r="B55" s="66" t="s">
        <v>130</v>
      </c>
      <c r="C55" s="67" t="s">
        <v>131</v>
      </c>
      <c r="D55" s="68">
        <f>7425*40%</f>
        <v>2970</v>
      </c>
      <c r="E55" s="69">
        <f t="shared" si="1"/>
        <v>9.8356186630632319E-3</v>
      </c>
      <c r="F55" s="70">
        <f t="shared" si="2"/>
        <v>851.06329661059942</v>
      </c>
      <c r="G55" s="71">
        <f t="shared" si="3"/>
        <v>42.553164830529973</v>
      </c>
      <c r="H55" s="71">
        <f t="shared" si="0"/>
        <v>893.61646144112945</v>
      </c>
    </row>
    <row r="56" spans="1:8" s="74" customFormat="1" x14ac:dyDescent="0.25">
      <c r="A56" s="65" t="s">
        <v>132</v>
      </c>
      <c r="B56" s="66" t="s">
        <v>133</v>
      </c>
      <c r="C56" s="67">
        <v>18741082000190</v>
      </c>
      <c r="D56" s="68">
        <v>12183</v>
      </c>
      <c r="E56" s="69">
        <f t="shared" si="1"/>
        <v>4.0345906455252309E-2</v>
      </c>
      <c r="F56" s="70">
        <f t="shared" si="2"/>
        <v>3491.0788358945902</v>
      </c>
      <c r="G56" s="71">
        <f t="shared" si="3"/>
        <v>174.55394179472952</v>
      </c>
      <c r="H56" s="71">
        <f t="shared" si="0"/>
        <v>3665.6327776893195</v>
      </c>
    </row>
    <row r="57" spans="1:8" s="74" customFormat="1" x14ac:dyDescent="0.25">
      <c r="A57" s="65" t="s">
        <v>134</v>
      </c>
      <c r="B57" s="66" t="s">
        <v>135</v>
      </c>
      <c r="C57" s="67" t="s">
        <v>136</v>
      </c>
      <c r="D57" s="68">
        <v>4814</v>
      </c>
      <c r="E57" s="69">
        <f t="shared" si="1"/>
        <v>1.5942312540062762E-2</v>
      </c>
      <c r="F57" s="70">
        <f t="shared" si="2"/>
        <v>1379.4675790853287</v>
      </c>
      <c r="G57" s="71">
        <f t="shared" si="3"/>
        <v>68.973378954266437</v>
      </c>
      <c r="H57" s="71">
        <f t="shared" si="0"/>
        <v>1448.4409580395952</v>
      </c>
    </row>
    <row r="58" spans="1:8" s="74" customFormat="1" x14ac:dyDescent="0.25">
      <c r="A58" s="65" t="s">
        <v>137</v>
      </c>
      <c r="B58" s="66" t="s">
        <v>138</v>
      </c>
      <c r="C58" s="67" t="s">
        <v>139</v>
      </c>
      <c r="D58" s="68">
        <v>3476.86</v>
      </c>
      <c r="E58" s="69">
        <f t="shared" si="1"/>
        <v>1.1514164681770382E-2</v>
      </c>
      <c r="F58" s="70">
        <f t="shared" si="2"/>
        <v>996.30570149950483</v>
      </c>
      <c r="G58" s="71">
        <f t="shared" si="3"/>
        <v>49.815285074975243</v>
      </c>
      <c r="H58" s="71">
        <f t="shared" si="0"/>
        <v>1046.1209865744802</v>
      </c>
    </row>
    <row r="59" spans="1:8" s="74" customFormat="1" x14ac:dyDescent="0.25">
      <c r="A59" s="65" t="s">
        <v>140</v>
      </c>
      <c r="B59" s="73" t="s">
        <v>141</v>
      </c>
      <c r="C59" s="67">
        <v>11884518000151</v>
      </c>
      <c r="D59" s="68">
        <f>81377.44-14717-3314-9239+11302+4126.33-9403</f>
        <v>60132.770000000004</v>
      </c>
      <c r="E59" s="69">
        <f t="shared" si="1"/>
        <v>0.19913905551302657</v>
      </c>
      <c r="F59" s="70">
        <f t="shared" si="2"/>
        <v>17231.243592770021</v>
      </c>
      <c r="G59" s="71">
        <f t="shared" si="3"/>
        <v>861.56217963850111</v>
      </c>
      <c r="H59" s="71">
        <f t="shared" si="0"/>
        <v>18092.805772408523</v>
      </c>
    </row>
    <row r="60" spans="1:8" customFormat="1" x14ac:dyDescent="0.25">
      <c r="A60" s="34"/>
      <c r="B60" s="35"/>
      <c r="C60" s="36" t="s">
        <v>142</v>
      </c>
      <c r="D60" s="37">
        <f>SUM(D18:D59)</f>
        <v>301963.71999999997</v>
      </c>
      <c r="E60" s="38">
        <f>SUM(E18:E59)</f>
        <v>1</v>
      </c>
      <c r="F60" s="39">
        <f>SUM(F18:F59)</f>
        <v>86528.699999999983</v>
      </c>
      <c r="G60" s="39">
        <f>SUM(G18:G59)</f>
        <v>4326.4350000000004</v>
      </c>
      <c r="H60" s="40">
        <f>SUM(H18:H59)</f>
        <v>90855.135000000009</v>
      </c>
    </row>
    <row r="61" spans="1:8" customFormat="1" x14ac:dyDescent="0.25">
      <c r="F61" s="41"/>
    </row>
    <row r="62" spans="1:8" customFormat="1" x14ac:dyDescent="0.25">
      <c r="F62" s="41"/>
    </row>
    <row r="63" spans="1:8" customFormat="1" x14ac:dyDescent="0.25">
      <c r="D63" s="44"/>
      <c r="E63" s="41"/>
      <c r="H63" s="42"/>
    </row>
    <row r="64" spans="1:8" customFormat="1" x14ac:dyDescent="0.25">
      <c r="E64" s="41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spans="1:5" customFormat="1" x14ac:dyDescent="0.25"/>
    <row r="130" spans="1:5" customFormat="1" x14ac:dyDescent="0.25"/>
    <row r="131" spans="1:5" customFormat="1" x14ac:dyDescent="0.25"/>
    <row r="132" spans="1:5" customFormat="1" x14ac:dyDescent="0.25"/>
    <row r="133" spans="1:5" customFormat="1" x14ac:dyDescent="0.25"/>
    <row r="134" spans="1:5" customFormat="1" x14ac:dyDescent="0.25"/>
    <row r="135" spans="1:5" customFormat="1" x14ac:dyDescent="0.25"/>
    <row r="136" spans="1:5" customFormat="1" x14ac:dyDescent="0.25"/>
    <row r="137" spans="1:5" customFormat="1" x14ac:dyDescent="0.25"/>
    <row r="138" spans="1:5" customFormat="1" x14ac:dyDescent="0.25"/>
    <row r="139" spans="1:5" customFormat="1" x14ac:dyDescent="0.25"/>
    <row r="140" spans="1:5" customFormat="1" x14ac:dyDescent="0.25"/>
    <row r="141" spans="1:5" customFormat="1" x14ac:dyDescent="0.25"/>
    <row r="142" spans="1:5" customFormat="1" x14ac:dyDescent="0.25"/>
    <row r="143" spans="1:5" customFormat="1" x14ac:dyDescent="0.25"/>
    <row r="144" spans="1:5" customFormat="1" x14ac:dyDescent="0.25">
      <c r="A144" s="45"/>
      <c r="B144" s="45"/>
      <c r="C144" s="45"/>
      <c r="D144" s="45"/>
      <c r="E144" s="45"/>
    </row>
    <row r="145" spans="6:8" x14ac:dyDescent="0.25">
      <c r="F145"/>
      <c r="G145"/>
      <c r="H145"/>
    </row>
    <row r="146" spans="6:8" x14ac:dyDescent="0.25">
      <c r="F146"/>
      <c r="G146"/>
      <c r="H146"/>
    </row>
    <row r="147" spans="6:8" x14ac:dyDescent="0.25">
      <c r="F147"/>
      <c r="G147"/>
      <c r="H147"/>
    </row>
    <row r="148" spans="6:8" x14ac:dyDescent="0.25">
      <c r="F148"/>
      <c r="G148"/>
      <c r="H148"/>
    </row>
    <row r="149" spans="6:8" x14ac:dyDescent="0.25">
      <c r="F149"/>
      <c r="G149"/>
      <c r="H149"/>
    </row>
    <row r="150" spans="6:8" x14ac:dyDescent="0.25">
      <c r="F150"/>
      <c r="G150"/>
      <c r="H150"/>
    </row>
    <row r="151" spans="6:8" x14ac:dyDescent="0.25">
      <c r="F151"/>
      <c r="G151"/>
      <c r="H151"/>
    </row>
    <row r="152" spans="6:8" x14ac:dyDescent="0.25">
      <c r="F152"/>
      <c r="G152"/>
      <c r="H152"/>
    </row>
    <row r="153" spans="6:8" x14ac:dyDescent="0.25">
      <c r="F153"/>
      <c r="G153"/>
      <c r="H153"/>
    </row>
    <row r="154" spans="6:8" x14ac:dyDescent="0.25">
      <c r="F154"/>
      <c r="G154"/>
      <c r="H154"/>
    </row>
    <row r="155" spans="6:8" x14ac:dyDescent="0.25">
      <c r="F155"/>
      <c r="G155"/>
      <c r="H155"/>
    </row>
    <row r="156" spans="6:8" x14ac:dyDescent="0.25">
      <c r="F156"/>
      <c r="G156"/>
      <c r="H156"/>
    </row>
    <row r="157" spans="6:8" x14ac:dyDescent="0.25">
      <c r="F157"/>
      <c r="G157"/>
      <c r="H157"/>
    </row>
    <row r="158" spans="6:8" x14ac:dyDescent="0.25">
      <c r="F158"/>
      <c r="G158"/>
      <c r="H158"/>
    </row>
    <row r="159" spans="6:8" x14ac:dyDescent="0.25">
      <c r="F159"/>
      <c r="G159"/>
      <c r="H159"/>
    </row>
    <row r="160" spans="6:8" x14ac:dyDescent="0.25">
      <c r="F160"/>
      <c r="G160"/>
      <c r="H160"/>
    </row>
    <row r="161" spans="6:8" x14ac:dyDescent="0.25">
      <c r="F161"/>
      <c r="G161"/>
      <c r="H161"/>
    </row>
    <row r="162" spans="6:8" x14ac:dyDescent="0.25">
      <c r="F162"/>
      <c r="G162"/>
      <c r="H162"/>
    </row>
    <row r="163" spans="6:8" x14ac:dyDescent="0.25">
      <c r="F163"/>
      <c r="G163"/>
      <c r="H163"/>
    </row>
    <row r="164" spans="6:8" x14ac:dyDescent="0.25">
      <c r="F164"/>
      <c r="G164"/>
      <c r="H164"/>
    </row>
    <row r="165" spans="6:8" x14ac:dyDescent="0.25">
      <c r="F165"/>
      <c r="G165"/>
      <c r="H165"/>
    </row>
    <row r="166" spans="6:8" x14ac:dyDescent="0.25">
      <c r="F166"/>
      <c r="G166"/>
      <c r="H166"/>
    </row>
    <row r="167" spans="6:8" x14ac:dyDescent="0.25">
      <c r="F167"/>
      <c r="G167"/>
      <c r="H167"/>
    </row>
    <row r="168" spans="6:8" x14ac:dyDescent="0.25">
      <c r="F168"/>
      <c r="G168"/>
      <c r="H168"/>
    </row>
    <row r="169" spans="6:8" x14ac:dyDescent="0.25">
      <c r="F169"/>
      <c r="G169"/>
      <c r="H169"/>
    </row>
    <row r="170" spans="6:8" x14ac:dyDescent="0.25">
      <c r="F170"/>
      <c r="G170"/>
      <c r="H170"/>
    </row>
    <row r="171" spans="6:8" x14ac:dyDescent="0.25">
      <c r="F171"/>
      <c r="G171"/>
      <c r="H171"/>
    </row>
    <row r="172" spans="6:8" x14ac:dyDescent="0.25">
      <c r="F172"/>
      <c r="G172"/>
      <c r="H172"/>
    </row>
    <row r="173" spans="6:8" x14ac:dyDescent="0.25">
      <c r="F173"/>
      <c r="G173"/>
      <c r="H173"/>
    </row>
    <row r="174" spans="6:8" x14ac:dyDescent="0.25">
      <c r="F174"/>
      <c r="G174"/>
      <c r="H174"/>
    </row>
    <row r="175" spans="6:8" x14ac:dyDescent="0.25">
      <c r="F175"/>
      <c r="G175"/>
      <c r="H175"/>
    </row>
    <row r="176" spans="6:8" x14ac:dyDescent="0.25">
      <c r="F176"/>
      <c r="G176"/>
      <c r="H176"/>
    </row>
    <row r="177" spans="6:8" x14ac:dyDescent="0.25">
      <c r="F177"/>
      <c r="G177"/>
      <c r="H177"/>
    </row>
    <row r="178" spans="6:8" x14ac:dyDescent="0.25">
      <c r="F178"/>
      <c r="G178"/>
      <c r="H178"/>
    </row>
    <row r="179" spans="6:8" x14ac:dyDescent="0.25">
      <c r="F179"/>
      <c r="G179"/>
      <c r="H179"/>
    </row>
    <row r="180" spans="6:8" x14ac:dyDescent="0.25">
      <c r="F180"/>
      <c r="G180"/>
      <c r="H180"/>
    </row>
    <row r="181" spans="6:8" x14ac:dyDescent="0.25">
      <c r="F181"/>
      <c r="G181"/>
      <c r="H181"/>
    </row>
    <row r="182" spans="6:8" x14ac:dyDescent="0.25">
      <c r="F182"/>
      <c r="G182"/>
      <c r="H182"/>
    </row>
    <row r="183" spans="6:8" x14ac:dyDescent="0.25">
      <c r="F183"/>
      <c r="G183"/>
      <c r="H183"/>
    </row>
    <row r="184" spans="6:8" x14ac:dyDescent="0.25">
      <c r="F184"/>
      <c r="G184"/>
      <c r="H184"/>
    </row>
    <row r="185" spans="6:8" x14ac:dyDescent="0.25">
      <c r="F185"/>
      <c r="G185"/>
      <c r="H185"/>
    </row>
    <row r="186" spans="6:8" x14ac:dyDescent="0.25">
      <c r="F186"/>
      <c r="G186"/>
      <c r="H186"/>
    </row>
    <row r="187" spans="6:8" x14ac:dyDescent="0.25">
      <c r="F187"/>
      <c r="G187"/>
      <c r="H187"/>
    </row>
    <row r="188" spans="6:8" x14ac:dyDescent="0.25">
      <c r="F188"/>
      <c r="G188"/>
      <c r="H188"/>
    </row>
    <row r="189" spans="6:8" x14ac:dyDescent="0.25">
      <c r="F189"/>
      <c r="G189"/>
      <c r="H189"/>
    </row>
    <row r="190" spans="6:8" x14ac:dyDescent="0.25">
      <c r="F190"/>
      <c r="G190"/>
      <c r="H190"/>
    </row>
    <row r="191" spans="6:8" x14ac:dyDescent="0.25">
      <c r="F191"/>
      <c r="G191"/>
      <c r="H191"/>
    </row>
    <row r="192" spans="6:8" x14ac:dyDescent="0.25">
      <c r="F192"/>
      <c r="G192"/>
      <c r="H192"/>
    </row>
    <row r="193" spans="6:8" x14ac:dyDescent="0.25">
      <c r="F193"/>
      <c r="G193"/>
      <c r="H193"/>
    </row>
    <row r="194" spans="6:8" x14ac:dyDescent="0.25">
      <c r="F194"/>
      <c r="G194"/>
      <c r="H194"/>
    </row>
    <row r="195" spans="6:8" x14ac:dyDescent="0.25">
      <c r="F195"/>
      <c r="G195"/>
      <c r="H195"/>
    </row>
    <row r="196" spans="6:8" x14ac:dyDescent="0.25">
      <c r="F196"/>
      <c r="G196"/>
      <c r="H196"/>
    </row>
    <row r="197" spans="6:8" x14ac:dyDescent="0.25">
      <c r="F197"/>
      <c r="G197"/>
      <c r="H197"/>
    </row>
    <row r="198" spans="6:8" x14ac:dyDescent="0.25">
      <c r="F198"/>
      <c r="G198"/>
      <c r="H198"/>
    </row>
    <row r="199" spans="6:8" x14ac:dyDescent="0.25">
      <c r="F199"/>
      <c r="G199"/>
      <c r="H199"/>
    </row>
    <row r="200" spans="6:8" x14ac:dyDescent="0.25">
      <c r="F200"/>
      <c r="G200"/>
      <c r="H200"/>
    </row>
    <row r="201" spans="6:8" x14ac:dyDescent="0.25">
      <c r="F201"/>
      <c r="G201"/>
      <c r="H201"/>
    </row>
    <row r="202" spans="6:8" x14ac:dyDescent="0.25">
      <c r="F202"/>
      <c r="G202"/>
      <c r="H202"/>
    </row>
    <row r="203" spans="6:8" x14ac:dyDescent="0.25">
      <c r="F203"/>
      <c r="G203"/>
      <c r="H203"/>
    </row>
    <row r="204" spans="6:8" x14ac:dyDescent="0.25">
      <c r="F204"/>
      <c r="G204"/>
      <c r="H204"/>
    </row>
    <row r="205" spans="6:8" x14ac:dyDescent="0.25">
      <c r="F205"/>
      <c r="G205"/>
      <c r="H205"/>
    </row>
    <row r="206" spans="6:8" x14ac:dyDescent="0.25">
      <c r="F206"/>
      <c r="G206"/>
      <c r="H206"/>
    </row>
    <row r="207" spans="6:8" x14ac:dyDescent="0.25">
      <c r="F207"/>
      <c r="G207"/>
      <c r="H207"/>
    </row>
    <row r="208" spans="6:8" x14ac:dyDescent="0.25">
      <c r="F208"/>
      <c r="G208"/>
      <c r="H208"/>
    </row>
    <row r="209" spans="6:8" x14ac:dyDescent="0.25">
      <c r="F209"/>
      <c r="G209"/>
      <c r="H209"/>
    </row>
    <row r="210" spans="6:8" x14ac:dyDescent="0.25">
      <c r="F210"/>
      <c r="G210"/>
      <c r="H210"/>
    </row>
    <row r="211" spans="6:8" x14ac:dyDescent="0.25">
      <c r="F211"/>
      <c r="G211"/>
      <c r="H211"/>
    </row>
    <row r="212" spans="6:8" x14ac:dyDescent="0.25">
      <c r="F212"/>
      <c r="G212"/>
      <c r="H212"/>
    </row>
    <row r="213" spans="6:8" x14ac:dyDescent="0.25">
      <c r="F213"/>
      <c r="G213"/>
      <c r="H213"/>
    </row>
    <row r="214" spans="6:8" x14ac:dyDescent="0.25">
      <c r="F214"/>
      <c r="G214"/>
      <c r="H214"/>
    </row>
    <row r="215" spans="6:8" x14ac:dyDescent="0.25">
      <c r="F215"/>
      <c r="G215"/>
      <c r="H215"/>
    </row>
    <row r="216" spans="6:8" x14ac:dyDescent="0.25">
      <c r="F216"/>
      <c r="G216"/>
      <c r="H216"/>
    </row>
    <row r="217" spans="6:8" x14ac:dyDescent="0.25">
      <c r="F217"/>
      <c r="G217"/>
      <c r="H217"/>
    </row>
    <row r="218" spans="6:8" x14ac:dyDescent="0.25">
      <c r="F218"/>
      <c r="G218"/>
      <c r="H218"/>
    </row>
    <row r="219" spans="6:8" x14ac:dyDescent="0.25">
      <c r="F219"/>
      <c r="G219"/>
      <c r="H219"/>
    </row>
    <row r="220" spans="6:8" x14ac:dyDescent="0.25">
      <c r="F220"/>
      <c r="G220"/>
      <c r="H220"/>
    </row>
    <row r="221" spans="6:8" x14ac:dyDescent="0.25">
      <c r="F221"/>
      <c r="G221"/>
      <c r="H221"/>
    </row>
    <row r="222" spans="6:8" x14ac:dyDescent="0.25">
      <c r="F222"/>
      <c r="G222"/>
      <c r="H222"/>
    </row>
    <row r="223" spans="6:8" x14ac:dyDescent="0.25">
      <c r="F223"/>
      <c r="G223"/>
      <c r="H223"/>
    </row>
    <row r="224" spans="6:8" x14ac:dyDescent="0.25">
      <c r="F224"/>
      <c r="G224"/>
      <c r="H224"/>
    </row>
    <row r="225" spans="6:8" x14ac:dyDescent="0.25">
      <c r="F225"/>
      <c r="G225"/>
      <c r="H225"/>
    </row>
    <row r="226" spans="6:8" x14ac:dyDescent="0.25">
      <c r="G226"/>
      <c r="H226"/>
    </row>
  </sheetData>
  <mergeCells count="1">
    <mergeCell ref="B1:G1"/>
  </mergeCells>
  <pageMargins left="0.511811024" right="0.511811024" top="0.78740157499999996" bottom="0.78740157499999996" header="0.31496062000000002" footer="0.31496062000000002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EA3E-CD92-46CF-9574-140F209F6B86}">
  <dimension ref="A1:L231"/>
  <sheetViews>
    <sheetView topLeftCell="A25" workbookViewId="0">
      <selection activeCell="A55" sqref="A55:XFD55"/>
    </sheetView>
  </sheetViews>
  <sheetFormatPr defaultColWidth="9.140625" defaultRowHeight="15" x14ac:dyDescent="0.25"/>
  <cols>
    <col min="1" max="1" width="29.5703125" style="45" customWidth="1"/>
    <col min="2" max="2" width="45.28515625" style="45" customWidth="1"/>
    <col min="3" max="3" width="29.7109375" style="45" customWidth="1"/>
    <col min="4" max="4" width="21.42578125" style="45" customWidth="1"/>
    <col min="5" max="5" width="17.42578125" style="45" customWidth="1"/>
    <col min="6" max="6" width="16.42578125" style="45" customWidth="1"/>
    <col min="7" max="7" width="17.140625" style="45" customWidth="1"/>
    <col min="8" max="8" width="16.85546875" style="45" bestFit="1" customWidth="1"/>
    <col min="9" max="16384" width="9.140625" style="45"/>
  </cols>
  <sheetData>
    <row r="1" spans="1:8" customFormat="1" ht="21.75" customHeight="1" x14ac:dyDescent="0.25">
      <c r="A1" s="46"/>
      <c r="B1" s="112" t="s">
        <v>0</v>
      </c>
      <c r="C1" s="113"/>
      <c r="D1" s="113"/>
      <c r="E1" s="113"/>
      <c r="F1" s="113"/>
      <c r="G1" s="114"/>
      <c r="H1" s="47"/>
    </row>
    <row r="2" spans="1:8" customFormat="1" ht="30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3"/>
      <c r="F2" s="4" t="s">
        <v>5</v>
      </c>
      <c r="G2" s="5"/>
      <c r="H2" s="6"/>
    </row>
    <row r="3" spans="1:8" customFormat="1" ht="30.6" customHeight="1" x14ac:dyDescent="0.25">
      <c r="A3" s="7">
        <v>1</v>
      </c>
      <c r="B3" s="8" t="s">
        <v>6</v>
      </c>
      <c r="C3" s="8"/>
      <c r="D3" s="9">
        <v>45748</v>
      </c>
      <c r="E3" s="9"/>
      <c r="F3" s="10">
        <f>532.69+550</f>
        <v>1082.69</v>
      </c>
      <c r="G3" s="5"/>
      <c r="H3" s="6"/>
    </row>
    <row r="4" spans="1:8" customFormat="1" ht="30.6" customHeight="1" x14ac:dyDescent="0.25">
      <c r="A4" s="7">
        <v>2</v>
      </c>
      <c r="B4" s="8" t="s">
        <v>8</v>
      </c>
      <c r="C4" s="8" t="s">
        <v>9</v>
      </c>
      <c r="D4" s="9">
        <v>45748</v>
      </c>
      <c r="E4" s="9"/>
      <c r="F4" s="10">
        <v>39590</v>
      </c>
      <c r="G4" s="5"/>
      <c r="H4" s="11"/>
    </row>
    <row r="5" spans="1:8" customFormat="1" ht="30.6" customHeight="1" x14ac:dyDescent="0.25">
      <c r="A5" s="7">
        <v>3</v>
      </c>
      <c r="B5" s="8" t="s">
        <v>10</v>
      </c>
      <c r="C5" s="12" t="s">
        <v>11</v>
      </c>
      <c r="D5" s="9">
        <v>45748</v>
      </c>
      <c r="E5" s="9"/>
      <c r="F5" s="10">
        <v>39510.6</v>
      </c>
      <c r="G5" s="5"/>
      <c r="H5" s="11"/>
    </row>
    <row r="6" spans="1:8" customFormat="1" ht="30.6" customHeight="1" x14ac:dyDescent="0.25">
      <c r="A6" s="7">
        <v>4</v>
      </c>
      <c r="B6" s="8" t="s">
        <v>12</v>
      </c>
      <c r="C6" s="8"/>
      <c r="D6" s="9">
        <v>45748</v>
      </c>
      <c r="E6" s="9"/>
      <c r="F6" s="10">
        <v>359.34</v>
      </c>
      <c r="G6" s="5"/>
      <c r="H6" s="11"/>
    </row>
    <row r="7" spans="1:8" customFormat="1" ht="30.6" customHeight="1" x14ac:dyDescent="0.25">
      <c r="A7" s="7">
        <v>5</v>
      </c>
      <c r="B7" s="8" t="s">
        <v>13</v>
      </c>
      <c r="C7" s="8" t="s">
        <v>14</v>
      </c>
      <c r="D7" s="9">
        <v>45748</v>
      </c>
      <c r="E7" s="9"/>
      <c r="F7" s="13">
        <v>1518</v>
      </c>
      <c r="G7" s="5"/>
      <c r="H7" s="6"/>
    </row>
    <row r="8" spans="1:8" customFormat="1" ht="30.6" customHeight="1" x14ac:dyDescent="0.25">
      <c r="A8" s="7">
        <v>6</v>
      </c>
      <c r="B8" s="8" t="s">
        <v>15</v>
      </c>
      <c r="C8" s="8" t="s">
        <v>16</v>
      </c>
      <c r="D8" s="9">
        <v>45748</v>
      </c>
      <c r="E8" s="9"/>
      <c r="F8" s="13">
        <v>2500</v>
      </c>
      <c r="G8" s="5"/>
      <c r="H8" s="6"/>
    </row>
    <row r="9" spans="1:8" customFormat="1" ht="30.6" customHeight="1" x14ac:dyDescent="0.25">
      <c r="A9" s="7">
        <v>7</v>
      </c>
      <c r="B9" s="14" t="s">
        <v>17</v>
      </c>
      <c r="C9" s="12" t="s">
        <v>18</v>
      </c>
      <c r="D9" s="9">
        <v>45748</v>
      </c>
      <c r="E9" s="9"/>
      <c r="F9" s="13">
        <v>880</v>
      </c>
      <c r="G9" s="5"/>
      <c r="H9" s="6"/>
    </row>
    <row r="10" spans="1:8" customFormat="1" ht="34.5" customHeight="1" x14ac:dyDescent="0.25">
      <c r="A10" s="7">
        <v>8</v>
      </c>
      <c r="B10" s="14" t="s">
        <v>19</v>
      </c>
      <c r="C10" s="14" t="s">
        <v>20</v>
      </c>
      <c r="D10" s="9">
        <v>45748</v>
      </c>
      <c r="E10" s="9"/>
      <c r="F10" s="13">
        <v>160.66999999999999</v>
      </c>
      <c r="G10" s="5"/>
      <c r="H10" s="6"/>
    </row>
    <row r="11" spans="1:8" customFormat="1" ht="30.6" customHeight="1" x14ac:dyDescent="0.25">
      <c r="A11" s="7">
        <v>9</v>
      </c>
      <c r="B11" s="14" t="s">
        <v>149</v>
      </c>
      <c r="C11" s="14" t="s">
        <v>150</v>
      </c>
      <c r="D11" s="9">
        <v>45748</v>
      </c>
      <c r="E11" s="9"/>
      <c r="F11" s="13">
        <v>149.9</v>
      </c>
      <c r="G11" s="5"/>
      <c r="H11" s="6"/>
    </row>
    <row r="12" spans="1:8" customFormat="1" ht="30.6" customHeight="1" x14ac:dyDescent="0.25">
      <c r="A12" s="7">
        <v>10</v>
      </c>
      <c r="B12" s="14" t="s">
        <v>21</v>
      </c>
      <c r="C12" s="12" t="s">
        <v>22</v>
      </c>
      <c r="D12" s="9">
        <v>45748</v>
      </c>
      <c r="E12" s="9"/>
      <c r="F12" s="13">
        <v>385</v>
      </c>
      <c r="G12" s="5"/>
      <c r="H12" s="15"/>
    </row>
    <row r="13" spans="1:8" customFormat="1" ht="30.6" customHeight="1" x14ac:dyDescent="0.25">
      <c r="A13" s="7">
        <v>11</v>
      </c>
      <c r="B13" s="14" t="s">
        <v>23</v>
      </c>
      <c r="C13" s="8"/>
      <c r="D13" s="9">
        <v>45748</v>
      </c>
      <c r="E13" s="9"/>
      <c r="F13" s="13"/>
      <c r="G13" s="5"/>
      <c r="H13" s="6"/>
    </row>
    <row r="14" spans="1:8" customFormat="1" ht="31.5" customHeight="1" x14ac:dyDescent="0.25">
      <c r="A14" s="7">
        <v>12</v>
      </c>
      <c r="B14" s="14" t="s">
        <v>24</v>
      </c>
      <c r="C14" s="12" t="s">
        <v>25</v>
      </c>
      <c r="D14" s="9">
        <v>45748</v>
      </c>
      <c r="E14" s="9"/>
      <c r="F14" s="13">
        <v>322.89999999999998</v>
      </c>
      <c r="G14" s="5"/>
      <c r="H14" s="6"/>
    </row>
    <row r="15" spans="1:8" customFormat="1" ht="31.5" customHeight="1" x14ac:dyDescent="0.25">
      <c r="A15" s="7">
        <v>13</v>
      </c>
      <c r="B15" s="14" t="s">
        <v>164</v>
      </c>
      <c r="C15" s="12" t="s">
        <v>165</v>
      </c>
      <c r="D15" s="9">
        <v>45748</v>
      </c>
      <c r="E15" s="9"/>
      <c r="F15" s="13">
        <v>69.599999999999994</v>
      </c>
      <c r="G15" s="5"/>
      <c r="H15" s="6"/>
    </row>
    <row r="16" spans="1:8" customFormat="1" ht="42" customHeight="1" x14ac:dyDescent="0.25">
      <c r="A16" s="48"/>
      <c r="B16" s="49" t="s">
        <v>31</v>
      </c>
      <c r="C16" s="50"/>
      <c r="D16" s="51"/>
      <c r="E16" s="52"/>
      <c r="F16" s="53">
        <f>SUM(F3:F15)</f>
        <v>86528.7</v>
      </c>
      <c r="G16" s="54"/>
      <c r="H16" s="55"/>
    </row>
    <row r="17" spans="1:12" customFormat="1" ht="21.75" customHeight="1" x14ac:dyDescent="0.25">
      <c r="A17" s="16" t="s">
        <v>32</v>
      </c>
      <c r="B17" s="17" t="s">
        <v>33</v>
      </c>
      <c r="C17" s="18" t="s">
        <v>34</v>
      </c>
      <c r="D17" s="16" t="s">
        <v>35</v>
      </c>
      <c r="E17" s="16" t="s">
        <v>36</v>
      </c>
      <c r="F17" s="16" t="s">
        <v>37</v>
      </c>
      <c r="G17" s="19" t="s">
        <v>38</v>
      </c>
      <c r="H17" s="18" t="s">
        <v>39</v>
      </c>
    </row>
    <row r="18" spans="1:12" s="27" customFormat="1" ht="15" customHeight="1" x14ac:dyDescent="0.25">
      <c r="A18" s="20" t="s">
        <v>40</v>
      </c>
      <c r="B18" s="21" t="s">
        <v>41</v>
      </c>
      <c r="C18" s="22" t="s">
        <v>42</v>
      </c>
      <c r="D18" s="23">
        <v>4016</v>
      </c>
      <c r="E18" s="24">
        <f>D18/$D$62</f>
        <v>1.2610517083325563E-2</v>
      </c>
      <c r="F18" s="25">
        <f>$F$16*E18</f>
        <v>1091.1716495479527</v>
      </c>
      <c r="G18" s="26">
        <f>F18*5%</f>
        <v>54.558582477397636</v>
      </c>
      <c r="H18" s="26">
        <f t="shared" ref="H18:H61" si="0">F18+G18</f>
        <v>1145.7302320253502</v>
      </c>
    </row>
    <row r="19" spans="1:12" customFormat="1" x14ac:dyDescent="0.25">
      <c r="A19" s="20" t="s">
        <v>43</v>
      </c>
      <c r="B19" s="28" t="s">
        <v>44</v>
      </c>
      <c r="C19" s="22">
        <v>18778225000139</v>
      </c>
      <c r="D19" s="23">
        <v>8711.2199999999993</v>
      </c>
      <c r="E19" s="24">
        <f t="shared" ref="E19:E61" si="1">D19/$D$62</f>
        <v>2.7353831829334489E-2</v>
      </c>
      <c r="F19" s="25">
        <f t="shared" ref="F19:F61" si="2">$F$16*E19</f>
        <v>2366.8915082109352</v>
      </c>
      <c r="G19" s="26">
        <f t="shared" ref="G19:G61" si="3">F19*5%</f>
        <v>118.34457541054677</v>
      </c>
      <c r="H19" s="26">
        <f t="shared" si="0"/>
        <v>2485.2360836214821</v>
      </c>
    </row>
    <row r="20" spans="1:12" customFormat="1" x14ac:dyDescent="0.25">
      <c r="A20" s="20" t="s">
        <v>45</v>
      </c>
      <c r="B20" s="28" t="s">
        <v>46</v>
      </c>
      <c r="C20" s="22">
        <v>41993875000119</v>
      </c>
      <c r="D20" s="23">
        <v>3641.8</v>
      </c>
      <c r="E20" s="24">
        <f t="shared" si="1"/>
        <v>1.1435503265451952E-2</v>
      </c>
      <c r="F20" s="25">
        <f t="shared" si="2"/>
        <v>989.49923140531223</v>
      </c>
      <c r="G20" s="26">
        <f t="shared" si="3"/>
        <v>49.474961570265613</v>
      </c>
      <c r="H20" s="26">
        <f t="shared" si="0"/>
        <v>1038.9741929755778</v>
      </c>
    </row>
    <row r="21" spans="1:12" customFormat="1" x14ac:dyDescent="0.25">
      <c r="A21" s="20" t="s">
        <v>47</v>
      </c>
      <c r="B21" s="21" t="s">
        <v>48</v>
      </c>
      <c r="C21" s="22">
        <v>24781302000102</v>
      </c>
      <c r="D21" s="23">
        <v>3430</v>
      </c>
      <c r="E21" s="24">
        <f t="shared" si="1"/>
        <v>1.0770436652342301E-2</v>
      </c>
      <c r="F21" s="25">
        <f t="shared" si="2"/>
        <v>931.95188195953131</v>
      </c>
      <c r="G21" s="26">
        <f t="shared" si="3"/>
        <v>46.597594097976568</v>
      </c>
      <c r="H21" s="26">
        <f t="shared" si="0"/>
        <v>978.54947605750783</v>
      </c>
    </row>
    <row r="22" spans="1:12" customFormat="1" x14ac:dyDescent="0.25">
      <c r="A22" s="20" t="s">
        <v>49</v>
      </c>
      <c r="B22" s="21" t="s">
        <v>50</v>
      </c>
      <c r="C22" s="22">
        <v>38649716000197</v>
      </c>
      <c r="D22" s="23">
        <v>3440</v>
      </c>
      <c r="E22" s="24">
        <f t="shared" si="1"/>
        <v>1.0801837342290821E-2</v>
      </c>
      <c r="F22" s="25">
        <f t="shared" si="2"/>
        <v>934.66894283987972</v>
      </c>
      <c r="G22" s="26">
        <f t="shared" si="3"/>
        <v>46.733447141993992</v>
      </c>
      <c r="H22" s="26">
        <f t="shared" si="0"/>
        <v>981.40238998187374</v>
      </c>
    </row>
    <row r="23" spans="1:12" customFormat="1" x14ac:dyDescent="0.25">
      <c r="A23" s="20" t="s">
        <v>51</v>
      </c>
      <c r="B23" s="21" t="s">
        <v>52</v>
      </c>
      <c r="C23" s="22" t="s">
        <v>53</v>
      </c>
      <c r="D23" s="23">
        <v>4056</v>
      </c>
      <c r="E23" s="24">
        <f t="shared" si="1"/>
        <v>1.2736119843119642E-2</v>
      </c>
      <c r="F23" s="25">
        <f t="shared" si="2"/>
        <v>1102.0398930693466</v>
      </c>
      <c r="G23" s="26">
        <f t="shared" si="3"/>
        <v>55.101994653467329</v>
      </c>
      <c r="H23" s="26">
        <f t="shared" si="0"/>
        <v>1157.1418877228139</v>
      </c>
    </row>
    <row r="24" spans="1:12" customFormat="1" x14ac:dyDescent="0.25">
      <c r="A24" s="20" t="s">
        <v>161</v>
      </c>
      <c r="B24" s="21" t="s">
        <v>162</v>
      </c>
      <c r="C24" s="22" t="s">
        <v>163</v>
      </c>
      <c r="D24" s="23">
        <v>9403</v>
      </c>
      <c r="E24" s="24">
        <f t="shared" si="1"/>
        <v>2.9526068758593194E-2</v>
      </c>
      <c r="F24" s="25">
        <f t="shared" si="2"/>
        <v>2554.8523457916826</v>
      </c>
      <c r="G24" s="26">
        <f t="shared" si="3"/>
        <v>127.74261728958413</v>
      </c>
      <c r="H24" s="26">
        <f t="shared" si="0"/>
        <v>2682.5949630812665</v>
      </c>
    </row>
    <row r="25" spans="1:12" customFormat="1" x14ac:dyDescent="0.25">
      <c r="A25" s="20" t="s">
        <v>54</v>
      </c>
      <c r="B25" s="21" t="s">
        <v>55</v>
      </c>
      <c r="C25" s="22" t="s">
        <v>56</v>
      </c>
      <c r="D25" s="23">
        <v>11580</v>
      </c>
      <c r="E25" s="24">
        <f t="shared" si="1"/>
        <v>3.6361998960385958E-2</v>
      </c>
      <c r="F25" s="25">
        <f t="shared" si="2"/>
        <v>3146.3564994435483</v>
      </c>
      <c r="G25" s="26">
        <f t="shared" si="3"/>
        <v>157.31782497217742</v>
      </c>
      <c r="H25" s="26">
        <f t="shared" si="0"/>
        <v>3303.6743244157256</v>
      </c>
    </row>
    <row r="26" spans="1:12" customFormat="1" x14ac:dyDescent="0.25">
      <c r="A26" s="20" t="s">
        <v>57</v>
      </c>
      <c r="B26" s="21" t="s">
        <v>58</v>
      </c>
      <c r="C26" s="22" t="s">
        <v>59</v>
      </c>
      <c r="D26" s="23">
        <f>360+360+1510</f>
        <v>2230</v>
      </c>
      <c r="E26" s="24">
        <f t="shared" si="1"/>
        <v>7.002353858519922E-3</v>
      </c>
      <c r="F26" s="25">
        <f t="shared" si="2"/>
        <v>605.90457631771278</v>
      </c>
      <c r="G26" s="26">
        <f t="shared" si="3"/>
        <v>30.29522881588564</v>
      </c>
      <c r="H26" s="26">
        <f t="shared" si="0"/>
        <v>636.19980513359837</v>
      </c>
    </row>
    <row r="27" spans="1:12" s="33" customFormat="1" ht="15.75" customHeight="1" x14ac:dyDescent="0.25">
      <c r="A27" s="20" t="s">
        <v>60</v>
      </c>
      <c r="B27" s="29" t="s">
        <v>61</v>
      </c>
      <c r="C27" s="30" t="s">
        <v>62</v>
      </c>
      <c r="D27" s="23">
        <f>5224+3930</f>
        <v>9154</v>
      </c>
      <c r="E27" s="24">
        <f t="shared" si="1"/>
        <v>2.8744191578875051E-2</v>
      </c>
      <c r="F27" s="25">
        <f t="shared" si="2"/>
        <v>2487.1975298710054</v>
      </c>
      <c r="G27" s="26">
        <f t="shared" si="3"/>
        <v>124.35987649355027</v>
      </c>
      <c r="H27" s="31">
        <f t="shared" si="0"/>
        <v>2611.5574063645558</v>
      </c>
      <c r="I27" s="32" t="s">
        <v>63</v>
      </c>
      <c r="L27" s="33" t="s">
        <v>64</v>
      </c>
    </row>
    <row r="28" spans="1:12" customFormat="1" ht="15.75" customHeight="1" x14ac:dyDescent="0.25">
      <c r="A28" s="20" t="s">
        <v>65</v>
      </c>
      <c r="B28" s="28" t="s">
        <v>66</v>
      </c>
      <c r="C28" s="22" t="s">
        <v>67</v>
      </c>
      <c r="D28" s="23">
        <v>2610</v>
      </c>
      <c r="E28" s="24">
        <f t="shared" si="1"/>
        <v>8.1955800765636747E-3</v>
      </c>
      <c r="F28" s="25">
        <f t="shared" si="2"/>
        <v>709.1528897709552</v>
      </c>
      <c r="G28" s="26">
        <f t="shared" si="3"/>
        <v>35.457644488547764</v>
      </c>
      <c r="H28" s="26">
        <f t="shared" si="0"/>
        <v>744.61053425950297</v>
      </c>
    </row>
    <row r="29" spans="1:12" customFormat="1" ht="15.75" customHeight="1" x14ac:dyDescent="0.25">
      <c r="A29" s="20" t="s">
        <v>68</v>
      </c>
      <c r="B29" s="28" t="s">
        <v>69</v>
      </c>
      <c r="C29" s="22" t="s">
        <v>70</v>
      </c>
      <c r="D29" s="23">
        <v>5515</v>
      </c>
      <c r="E29" s="24">
        <f t="shared" si="1"/>
        <v>1.7317480506608685E-2</v>
      </c>
      <c r="F29" s="25">
        <f t="shared" si="2"/>
        <v>1498.4590755121908</v>
      </c>
      <c r="G29" s="26">
        <f t="shared" si="3"/>
        <v>74.922953775609543</v>
      </c>
      <c r="H29" s="26">
        <f t="shared" si="0"/>
        <v>1573.3820292878004</v>
      </c>
    </row>
    <row r="30" spans="1:12" customFormat="1" ht="15.75" customHeight="1" x14ac:dyDescent="0.25">
      <c r="A30" s="20" t="s">
        <v>71</v>
      </c>
      <c r="B30" s="21" t="s">
        <v>72</v>
      </c>
      <c r="C30" s="22">
        <v>17202383000183</v>
      </c>
      <c r="D30" s="23">
        <v>15332</v>
      </c>
      <c r="E30" s="24">
        <f t="shared" si="1"/>
        <v>4.8143537829070597E-2</v>
      </c>
      <c r="F30" s="25">
        <f t="shared" si="2"/>
        <v>4165.7977417503007</v>
      </c>
      <c r="G30" s="26">
        <f t="shared" si="3"/>
        <v>208.28988708751504</v>
      </c>
      <c r="H30" s="26">
        <f t="shared" si="0"/>
        <v>4374.0876288378158</v>
      </c>
    </row>
    <row r="31" spans="1:12" customFormat="1" ht="15.75" customHeight="1" x14ac:dyDescent="0.25">
      <c r="A31" s="20" t="s">
        <v>73</v>
      </c>
      <c r="B31" s="21" t="s">
        <v>74</v>
      </c>
      <c r="C31" s="22">
        <v>18183488000103</v>
      </c>
      <c r="D31" s="23">
        <v>7238</v>
      </c>
      <c r="E31" s="24">
        <f t="shared" si="1"/>
        <v>2.272781938473865E-2</v>
      </c>
      <c r="F31" s="25">
        <f t="shared" si="2"/>
        <v>1966.6086651962353</v>
      </c>
      <c r="G31" s="26">
        <f t="shared" si="3"/>
        <v>98.33043325981177</v>
      </c>
      <c r="H31" s="26">
        <f t="shared" si="0"/>
        <v>2064.9390984560468</v>
      </c>
    </row>
    <row r="32" spans="1:12" customFormat="1" x14ac:dyDescent="0.25">
      <c r="A32" s="20" t="s">
        <v>75</v>
      </c>
      <c r="B32" s="21" t="s">
        <v>76</v>
      </c>
      <c r="C32" s="22">
        <v>18244070000150</v>
      </c>
      <c r="D32" s="23">
        <v>5941</v>
      </c>
      <c r="E32" s="24">
        <f t="shared" si="1"/>
        <v>1.8655149898415629E-2</v>
      </c>
      <c r="F32" s="25">
        <f t="shared" si="2"/>
        <v>1614.2058690150363</v>
      </c>
      <c r="G32" s="26">
        <f t="shared" si="3"/>
        <v>80.71029345075182</v>
      </c>
      <c r="H32" s="26">
        <f t="shared" si="0"/>
        <v>1694.9161624657881</v>
      </c>
    </row>
    <row r="33" spans="1:12" customFormat="1" x14ac:dyDescent="0.25">
      <c r="A33" s="20" t="s">
        <v>77</v>
      </c>
      <c r="B33" s="21" t="s">
        <v>78</v>
      </c>
      <c r="C33" s="22">
        <v>18244039000110</v>
      </c>
      <c r="D33" s="23">
        <v>4460</v>
      </c>
      <c r="E33" s="24">
        <f t="shared" si="1"/>
        <v>1.4004707717039844E-2</v>
      </c>
      <c r="F33" s="25">
        <f t="shared" si="2"/>
        <v>1211.8091526354256</v>
      </c>
      <c r="G33" s="26">
        <f t="shared" si="3"/>
        <v>60.59045763177128</v>
      </c>
      <c r="H33" s="26">
        <f t="shared" si="0"/>
        <v>1272.3996102671967</v>
      </c>
    </row>
    <row r="34" spans="1:12" customFormat="1" x14ac:dyDescent="0.25">
      <c r="A34" s="20" t="s">
        <v>79</v>
      </c>
      <c r="B34" s="21" t="s">
        <v>153</v>
      </c>
      <c r="C34" s="67" t="s">
        <v>154</v>
      </c>
      <c r="D34" s="23">
        <v>4415</v>
      </c>
      <c r="E34" s="24">
        <f t="shared" si="1"/>
        <v>1.3863404612271504E-2</v>
      </c>
      <c r="F34" s="25">
        <f t="shared" si="2"/>
        <v>1199.5823786738572</v>
      </c>
      <c r="G34" s="26">
        <f t="shared" si="3"/>
        <v>59.97911893369286</v>
      </c>
      <c r="H34" s="26">
        <f t="shared" si="0"/>
        <v>1259.5614976075501</v>
      </c>
    </row>
    <row r="35" spans="1:12" customFormat="1" x14ac:dyDescent="0.25">
      <c r="A35" s="20" t="s">
        <v>81</v>
      </c>
      <c r="B35" s="21" t="s">
        <v>82</v>
      </c>
      <c r="C35" s="22" t="s">
        <v>83</v>
      </c>
      <c r="D35" s="23">
        <v>8673</v>
      </c>
      <c r="E35" s="24">
        <f t="shared" si="1"/>
        <v>2.7233818392351245E-2</v>
      </c>
      <c r="F35" s="25">
        <f t="shared" si="2"/>
        <v>2356.5069015262429</v>
      </c>
      <c r="G35" s="26">
        <f t="shared" si="3"/>
        <v>117.82534507631215</v>
      </c>
      <c r="H35" s="26">
        <f t="shared" si="0"/>
        <v>2474.3322466025552</v>
      </c>
    </row>
    <row r="36" spans="1:12" customFormat="1" x14ac:dyDescent="0.25">
      <c r="A36" s="20" t="s">
        <v>84</v>
      </c>
      <c r="B36" s="21" t="s">
        <v>85</v>
      </c>
      <c r="C36" s="22" t="s">
        <v>86</v>
      </c>
      <c r="D36" s="23">
        <v>9239</v>
      </c>
      <c r="E36" s="24">
        <f t="shared" si="1"/>
        <v>2.901109744343747E-2</v>
      </c>
      <c r="F36" s="25">
        <f t="shared" si="2"/>
        <v>2510.2925473539676</v>
      </c>
      <c r="G36" s="26">
        <f t="shared" si="3"/>
        <v>125.51462736769838</v>
      </c>
      <c r="H36" s="26">
        <f t="shared" si="0"/>
        <v>2635.8071747216659</v>
      </c>
    </row>
    <row r="37" spans="1:12" customFormat="1" x14ac:dyDescent="0.25">
      <c r="A37" s="20" t="s">
        <v>87</v>
      </c>
      <c r="B37" s="21" t="s">
        <v>88</v>
      </c>
      <c r="C37" s="22" t="s">
        <v>89</v>
      </c>
      <c r="D37" s="23">
        <v>4892</v>
      </c>
      <c r="E37" s="24">
        <f t="shared" si="1"/>
        <v>1.53612175228159E-2</v>
      </c>
      <c r="F37" s="25">
        <f t="shared" si="2"/>
        <v>1329.1861826664801</v>
      </c>
      <c r="G37" s="26">
        <f t="shared" si="3"/>
        <v>66.459309133324012</v>
      </c>
      <c r="H37" s="26">
        <f t="shared" si="0"/>
        <v>1395.6454917998042</v>
      </c>
    </row>
    <row r="38" spans="1:12" customFormat="1" x14ac:dyDescent="0.25">
      <c r="A38" s="20" t="s">
        <v>90</v>
      </c>
      <c r="B38" s="21" t="s">
        <v>91</v>
      </c>
      <c r="C38" s="22">
        <v>41497649000147</v>
      </c>
      <c r="D38" s="23">
        <v>2526</v>
      </c>
      <c r="E38" s="24">
        <f t="shared" si="1"/>
        <v>7.9318142809961089E-3</v>
      </c>
      <c r="F38" s="25">
        <f t="shared" si="2"/>
        <v>686.32957837602794</v>
      </c>
      <c r="G38" s="26">
        <f t="shared" si="3"/>
        <v>34.316478918801401</v>
      </c>
      <c r="H38" s="26">
        <f t="shared" si="0"/>
        <v>720.64605729482935</v>
      </c>
    </row>
    <row r="39" spans="1:12" s="63" customFormat="1" x14ac:dyDescent="0.25">
      <c r="A39" s="56" t="s">
        <v>145</v>
      </c>
      <c r="B39" s="57" t="s">
        <v>146</v>
      </c>
      <c r="C39" s="58">
        <v>19209989000176</v>
      </c>
      <c r="D39" s="59">
        <v>15365.8</v>
      </c>
      <c r="E39" s="60">
        <f t="shared" si="1"/>
        <v>4.8249672161096595E-2</v>
      </c>
      <c r="F39" s="61">
        <f t="shared" si="2"/>
        <v>4174.9814075258791</v>
      </c>
      <c r="G39" s="62">
        <f t="shared" si="3"/>
        <v>208.74907037629396</v>
      </c>
      <c r="H39" s="62">
        <f>F39+G39</f>
        <v>4383.7304779021733</v>
      </c>
    </row>
    <row r="40" spans="1:12" customFormat="1" x14ac:dyDescent="0.25">
      <c r="A40" s="20" t="s">
        <v>92</v>
      </c>
      <c r="B40" s="21" t="s">
        <v>93</v>
      </c>
      <c r="C40" s="22">
        <v>40580071000125</v>
      </c>
      <c r="D40" s="23">
        <v>3600</v>
      </c>
      <c r="E40" s="24">
        <f t="shared" si="1"/>
        <v>1.1304248381467139E-2</v>
      </c>
      <c r="F40" s="25">
        <f t="shared" si="2"/>
        <v>978.14191692545558</v>
      </c>
      <c r="G40" s="26">
        <f t="shared" si="3"/>
        <v>48.907095846272782</v>
      </c>
      <c r="H40" s="26">
        <f t="shared" si="0"/>
        <v>1027.0490127717283</v>
      </c>
      <c r="I40" s="32" t="s">
        <v>63</v>
      </c>
      <c r="L40" t="s">
        <v>94</v>
      </c>
    </row>
    <row r="41" spans="1:12" customFormat="1" x14ac:dyDescent="0.25">
      <c r="A41" s="20" t="s">
        <v>95</v>
      </c>
      <c r="B41" s="21" t="s">
        <v>96</v>
      </c>
      <c r="C41" s="22" t="s">
        <v>97</v>
      </c>
      <c r="D41" s="23">
        <v>3938</v>
      </c>
      <c r="E41" s="24">
        <f t="shared" si="1"/>
        <v>1.2365591701727109E-2</v>
      </c>
      <c r="F41" s="25">
        <f t="shared" si="2"/>
        <v>1069.9785746812345</v>
      </c>
      <c r="G41" s="26">
        <f t="shared" si="3"/>
        <v>53.498928734061728</v>
      </c>
      <c r="H41" s="26">
        <f t="shared" si="0"/>
        <v>1123.4775034152963</v>
      </c>
    </row>
    <row r="42" spans="1:12" customFormat="1" x14ac:dyDescent="0.25">
      <c r="A42" s="20" t="s">
        <v>98</v>
      </c>
      <c r="B42" s="21" t="s">
        <v>99</v>
      </c>
      <c r="C42" s="22">
        <v>18788190000119</v>
      </c>
      <c r="D42" s="23">
        <v>3707</v>
      </c>
      <c r="E42" s="24">
        <f t="shared" si="1"/>
        <v>1.1640235763916301E-2</v>
      </c>
      <c r="F42" s="25">
        <f t="shared" si="2"/>
        <v>1007.2144683451844</v>
      </c>
      <c r="G42" s="26">
        <f t="shared" si="3"/>
        <v>50.360723417259223</v>
      </c>
      <c r="H42" s="26">
        <f t="shared" si="0"/>
        <v>1057.5751917624436</v>
      </c>
    </row>
    <row r="43" spans="1:12" customFormat="1" x14ac:dyDescent="0.25">
      <c r="A43" s="20" t="s">
        <v>100</v>
      </c>
      <c r="B43" s="21" t="s">
        <v>101</v>
      </c>
      <c r="C43" s="22">
        <v>42109766000159</v>
      </c>
      <c r="D43" s="23">
        <v>5117</v>
      </c>
      <c r="E43" s="24">
        <f t="shared" si="1"/>
        <v>1.6067733046657595E-2</v>
      </c>
      <c r="F43" s="25">
        <f t="shared" si="2"/>
        <v>1390.3200524743211</v>
      </c>
      <c r="G43" s="26">
        <f t="shared" si="3"/>
        <v>69.516002623716062</v>
      </c>
      <c r="H43" s="26">
        <f t="shared" si="0"/>
        <v>1459.8360550980371</v>
      </c>
    </row>
    <row r="44" spans="1:12" customFormat="1" x14ac:dyDescent="0.25">
      <c r="A44" s="20" t="s">
        <v>102</v>
      </c>
      <c r="B44" s="21" t="s">
        <v>99</v>
      </c>
      <c r="C44" s="22">
        <v>18788190000119</v>
      </c>
      <c r="D44" s="23">
        <v>14717</v>
      </c>
      <c r="E44" s="24">
        <f t="shared" si="1"/>
        <v>4.6212395397236629E-2</v>
      </c>
      <c r="F44" s="25">
        <f t="shared" si="2"/>
        <v>3998.6984976088688</v>
      </c>
      <c r="G44" s="26">
        <f t="shared" si="3"/>
        <v>199.93492488044345</v>
      </c>
      <c r="H44" s="26">
        <f t="shared" si="0"/>
        <v>4198.6334224893126</v>
      </c>
    </row>
    <row r="45" spans="1:12" customFormat="1" ht="13.5" customHeight="1" x14ac:dyDescent="0.25">
      <c r="A45" s="20" t="s">
        <v>103</v>
      </c>
      <c r="B45" s="21" t="s">
        <v>104</v>
      </c>
      <c r="C45" s="22">
        <v>32302613000170</v>
      </c>
      <c r="D45" s="23">
        <v>5439</v>
      </c>
      <c r="E45" s="24">
        <f t="shared" si="1"/>
        <v>1.7078835262999935E-2</v>
      </c>
      <c r="F45" s="25">
        <f t="shared" si="2"/>
        <v>1477.8094128215423</v>
      </c>
      <c r="G45" s="26">
        <f t="shared" si="3"/>
        <v>73.890470641077115</v>
      </c>
      <c r="H45" s="26">
        <f t="shared" si="0"/>
        <v>1551.6998834626195</v>
      </c>
    </row>
    <row r="46" spans="1:12" customFormat="1" x14ac:dyDescent="0.25">
      <c r="A46" s="20" t="s">
        <v>105</v>
      </c>
      <c r="B46" s="21" t="s">
        <v>106</v>
      </c>
      <c r="C46" s="22">
        <v>28616552000148</v>
      </c>
      <c r="D46" s="23">
        <v>4123.71</v>
      </c>
      <c r="E46" s="24">
        <f t="shared" si="1"/>
        <v>1.2948733914761069E-2</v>
      </c>
      <c r="F46" s="25">
        <f t="shared" si="2"/>
        <v>1120.4371122901862</v>
      </c>
      <c r="G46" s="26">
        <f t="shared" si="3"/>
        <v>56.021855614509313</v>
      </c>
      <c r="H46" s="26">
        <f t="shared" si="0"/>
        <v>1176.4589679046956</v>
      </c>
    </row>
    <row r="47" spans="1:12" customFormat="1" x14ac:dyDescent="0.25">
      <c r="A47" s="20" t="s">
        <v>107</v>
      </c>
      <c r="B47" s="21" t="s">
        <v>108</v>
      </c>
      <c r="C47" s="22">
        <v>42579914000107</v>
      </c>
      <c r="D47" s="23">
        <v>4986.3599999999997</v>
      </c>
      <c r="E47" s="24">
        <f t="shared" si="1"/>
        <v>1.5657514433170133E-2</v>
      </c>
      <c r="F47" s="25">
        <f t="shared" si="2"/>
        <v>1354.8243691334485</v>
      </c>
      <c r="G47" s="26">
        <f t="shared" si="3"/>
        <v>67.741218456672428</v>
      </c>
      <c r="H47" s="26">
        <f t="shared" si="0"/>
        <v>1422.5655875901209</v>
      </c>
    </row>
    <row r="48" spans="1:12" customFormat="1" x14ac:dyDescent="0.25">
      <c r="A48" s="20" t="s">
        <v>109</v>
      </c>
      <c r="B48" s="21" t="s">
        <v>110</v>
      </c>
      <c r="C48" s="22" t="s">
        <v>111</v>
      </c>
      <c r="D48" s="23">
        <v>7462</v>
      </c>
      <c r="E48" s="24">
        <f t="shared" si="1"/>
        <v>2.3431194839585497E-2</v>
      </c>
      <c r="F48" s="25">
        <f t="shared" si="2"/>
        <v>2027.4708289160415</v>
      </c>
      <c r="G48" s="26">
        <f t="shared" si="3"/>
        <v>101.37354144580208</v>
      </c>
      <c r="H48" s="26">
        <f t="shared" si="0"/>
        <v>2128.8443703618436</v>
      </c>
    </row>
    <row r="49" spans="1:8" customFormat="1" x14ac:dyDescent="0.25">
      <c r="A49" s="20" t="s">
        <v>112</v>
      </c>
      <c r="B49" s="21" t="s">
        <v>113</v>
      </c>
      <c r="C49" s="22" t="s">
        <v>114</v>
      </c>
      <c r="D49" s="23">
        <v>5525</v>
      </c>
      <c r="E49" s="24">
        <f t="shared" si="1"/>
        <v>1.7348881196557205E-2</v>
      </c>
      <c r="F49" s="25">
        <f t="shared" si="2"/>
        <v>1501.1761363925393</v>
      </c>
      <c r="G49" s="26">
        <f t="shared" si="3"/>
        <v>75.058806819626966</v>
      </c>
      <c r="H49" s="26">
        <f t="shared" si="0"/>
        <v>1576.2349432121664</v>
      </c>
    </row>
    <row r="50" spans="1:8" customFormat="1" x14ac:dyDescent="0.25">
      <c r="A50" s="20" t="s">
        <v>115</v>
      </c>
      <c r="B50" s="21" t="s">
        <v>116</v>
      </c>
      <c r="C50" s="22">
        <v>26480299000112</v>
      </c>
      <c r="D50" s="23"/>
      <c r="E50" s="24">
        <f t="shared" si="1"/>
        <v>0</v>
      </c>
      <c r="F50" s="25">
        <f t="shared" si="2"/>
        <v>0</v>
      </c>
      <c r="G50" s="26">
        <f t="shared" si="3"/>
        <v>0</v>
      </c>
      <c r="H50" s="26">
        <f t="shared" si="0"/>
        <v>0</v>
      </c>
    </row>
    <row r="51" spans="1:8" customFormat="1" x14ac:dyDescent="0.25">
      <c r="A51" s="20" t="s">
        <v>117</v>
      </c>
      <c r="B51" s="21" t="s">
        <v>118</v>
      </c>
      <c r="C51" s="22" t="s">
        <v>119</v>
      </c>
      <c r="D51" s="23">
        <v>4943</v>
      </c>
      <c r="E51" s="24">
        <f t="shared" si="1"/>
        <v>1.552136104155335E-2</v>
      </c>
      <c r="F51" s="25">
        <f t="shared" si="2"/>
        <v>1343.0431931562573</v>
      </c>
      <c r="G51" s="26">
        <f t="shared" si="3"/>
        <v>67.152159657812874</v>
      </c>
      <c r="H51" s="26">
        <f t="shared" si="0"/>
        <v>1410.1953528140702</v>
      </c>
    </row>
    <row r="52" spans="1:8" customFormat="1" x14ac:dyDescent="0.25">
      <c r="A52" s="20" t="s">
        <v>120</v>
      </c>
      <c r="B52" s="21" t="s">
        <v>121</v>
      </c>
      <c r="C52" s="22">
        <v>12997366000166</v>
      </c>
      <c r="D52" s="23">
        <v>5160</v>
      </c>
      <c r="E52" s="24">
        <f t="shared" si="1"/>
        <v>1.620275601343623E-2</v>
      </c>
      <c r="F52" s="25">
        <f t="shared" si="2"/>
        <v>1402.0034142598195</v>
      </c>
      <c r="G52" s="26">
        <f t="shared" si="3"/>
        <v>70.100170712990973</v>
      </c>
      <c r="H52" s="26">
        <f t="shared" si="0"/>
        <v>1472.1035849728105</v>
      </c>
    </row>
    <row r="53" spans="1:8" customFormat="1" ht="16.5" customHeight="1" x14ac:dyDescent="0.25">
      <c r="A53" s="20" t="s">
        <v>122</v>
      </c>
      <c r="B53" s="21" t="s">
        <v>123</v>
      </c>
      <c r="C53" s="22" t="s">
        <v>124</v>
      </c>
      <c r="D53" s="23">
        <v>6586</v>
      </c>
      <c r="E53" s="24">
        <f t="shared" si="1"/>
        <v>2.0680494400095159E-2</v>
      </c>
      <c r="F53" s="25">
        <f t="shared" si="2"/>
        <v>1789.456295797514</v>
      </c>
      <c r="G53" s="26">
        <f t="shared" si="3"/>
        <v>89.472814789875713</v>
      </c>
      <c r="H53" s="26">
        <f t="shared" si="0"/>
        <v>1878.9291105873897</v>
      </c>
    </row>
    <row r="54" spans="1:8" customFormat="1" x14ac:dyDescent="0.25">
      <c r="A54" s="20" t="s">
        <v>125</v>
      </c>
      <c r="B54" s="21" t="s">
        <v>126</v>
      </c>
      <c r="C54" s="22">
        <v>11884518000151</v>
      </c>
      <c r="D54" s="23">
        <v>5644</v>
      </c>
      <c r="E54" s="24">
        <f t="shared" si="1"/>
        <v>1.772254940694459E-2</v>
      </c>
      <c r="F54" s="25">
        <f t="shared" si="2"/>
        <v>1533.5091608686862</v>
      </c>
      <c r="G54" s="26">
        <f t="shared" si="3"/>
        <v>76.675458043434318</v>
      </c>
      <c r="H54" s="26">
        <f t="shared" si="0"/>
        <v>1610.1846189121204</v>
      </c>
    </row>
    <row r="55" spans="1:8" s="63" customFormat="1" x14ac:dyDescent="0.25">
      <c r="A55" s="56" t="s">
        <v>147</v>
      </c>
      <c r="B55" s="57" t="s">
        <v>148</v>
      </c>
      <c r="C55" s="58">
        <v>41142377000162</v>
      </c>
      <c r="D55" s="59">
        <v>1134.82</v>
      </c>
      <c r="E55" s="60">
        <f t="shared" si="1"/>
        <v>3.5634130967379268E-3</v>
      </c>
      <c r="F55" s="61">
        <f t="shared" si="2"/>
        <v>308.33750282370704</v>
      </c>
      <c r="G55" s="62">
        <f t="shared" si="3"/>
        <v>15.416875141185352</v>
      </c>
      <c r="H55" s="62">
        <f t="shared" si="0"/>
        <v>323.7543779648924</v>
      </c>
    </row>
    <row r="56" spans="1:8" customFormat="1" x14ac:dyDescent="0.25">
      <c r="A56" s="20" t="s">
        <v>127</v>
      </c>
      <c r="B56" s="21" t="s">
        <v>128</v>
      </c>
      <c r="C56" s="22">
        <v>36188051000136</v>
      </c>
      <c r="D56" s="23">
        <v>6936</v>
      </c>
      <c r="E56" s="24">
        <f t="shared" si="1"/>
        <v>2.1779518548293353E-2</v>
      </c>
      <c r="F56" s="25">
        <f t="shared" si="2"/>
        <v>1884.5534266097109</v>
      </c>
      <c r="G56" s="26">
        <f t="shared" si="3"/>
        <v>94.227671330485549</v>
      </c>
      <c r="H56" s="26">
        <f t="shared" si="0"/>
        <v>1978.7810979401963</v>
      </c>
    </row>
    <row r="57" spans="1:8" customFormat="1" x14ac:dyDescent="0.25">
      <c r="A57" s="20" t="s">
        <v>129</v>
      </c>
      <c r="B57" s="21" t="s">
        <v>130</v>
      </c>
      <c r="C57" s="22" t="s">
        <v>131</v>
      </c>
      <c r="D57" s="23">
        <f>7425*40%</f>
        <v>2970</v>
      </c>
      <c r="E57" s="24">
        <f t="shared" si="1"/>
        <v>9.3260049147103896E-3</v>
      </c>
      <c r="F57" s="25">
        <f t="shared" si="2"/>
        <v>806.9670814635009</v>
      </c>
      <c r="G57" s="26">
        <f t="shared" si="3"/>
        <v>40.348354073175045</v>
      </c>
      <c r="H57" s="26">
        <f t="shared" si="0"/>
        <v>847.31543553667598</v>
      </c>
    </row>
    <row r="58" spans="1:8" customFormat="1" x14ac:dyDescent="0.25">
      <c r="A58" s="20" t="s">
        <v>132</v>
      </c>
      <c r="B58" s="21" t="s">
        <v>133</v>
      </c>
      <c r="C58" s="22">
        <v>18741082000190</v>
      </c>
      <c r="D58" s="23">
        <v>12183</v>
      </c>
      <c r="E58" s="24">
        <f t="shared" si="1"/>
        <v>3.825546056428171E-2</v>
      </c>
      <c r="F58" s="25">
        <f t="shared" si="2"/>
        <v>3310.1952705285626</v>
      </c>
      <c r="G58" s="26">
        <f t="shared" si="3"/>
        <v>165.50976352642815</v>
      </c>
      <c r="H58" s="26">
        <f t="shared" si="0"/>
        <v>3475.7050340549908</v>
      </c>
    </row>
    <row r="59" spans="1:8" customFormat="1" x14ac:dyDescent="0.25">
      <c r="A59" s="20" t="s">
        <v>134</v>
      </c>
      <c r="B59" s="21" t="s">
        <v>135</v>
      </c>
      <c r="C59" s="22" t="s">
        <v>136</v>
      </c>
      <c r="D59" s="23">
        <v>4814</v>
      </c>
      <c r="E59" s="24">
        <f t="shared" si="1"/>
        <v>1.5116292141217446E-2</v>
      </c>
      <c r="F59" s="25">
        <f t="shared" si="2"/>
        <v>1307.9931077997619</v>
      </c>
      <c r="G59" s="26">
        <f t="shared" si="3"/>
        <v>65.399655389988098</v>
      </c>
      <c r="H59" s="26">
        <f t="shared" si="0"/>
        <v>1373.39276318975</v>
      </c>
    </row>
    <row r="60" spans="1:8" customFormat="1" x14ac:dyDescent="0.25">
      <c r="A60" s="20" t="s">
        <v>137</v>
      </c>
      <c r="B60" s="21" t="s">
        <v>138</v>
      </c>
      <c r="C60" s="22" t="s">
        <v>139</v>
      </c>
      <c r="D60" s="23">
        <v>3476.86</v>
      </c>
      <c r="E60" s="24">
        <f t="shared" si="1"/>
        <v>1.0917580285441065E-2</v>
      </c>
      <c r="F60" s="25">
        <f t="shared" si="2"/>
        <v>944.68402924484417</v>
      </c>
      <c r="G60" s="26">
        <f t="shared" si="3"/>
        <v>47.234201462242211</v>
      </c>
      <c r="H60" s="26">
        <f t="shared" si="0"/>
        <v>991.91823070708642</v>
      </c>
    </row>
    <row r="61" spans="1:8" customFormat="1" x14ac:dyDescent="0.25">
      <c r="A61" s="20" t="s">
        <v>140</v>
      </c>
      <c r="B61" s="28" t="s">
        <v>141</v>
      </c>
      <c r="C61" s="22">
        <v>11884518000151</v>
      </c>
      <c r="D61" s="68">
        <f>81377.44-14717-3314-9239+11302+4126.33-9403</f>
        <v>60132.770000000004</v>
      </c>
      <c r="E61" s="24">
        <f t="shared" si="1"/>
        <v>0.18882104665156549</v>
      </c>
      <c r="F61" s="25">
        <f t="shared" si="2"/>
        <v>16338.439699399314</v>
      </c>
      <c r="G61" s="26">
        <f t="shared" si="3"/>
        <v>816.92198496996571</v>
      </c>
      <c r="H61" s="26">
        <f t="shared" si="0"/>
        <v>17155.36168436928</v>
      </c>
    </row>
    <row r="62" spans="1:8" customFormat="1" x14ac:dyDescent="0.25">
      <c r="A62" s="34"/>
      <c r="B62" s="35"/>
      <c r="C62" s="36" t="s">
        <v>142</v>
      </c>
      <c r="D62" s="37">
        <f>SUM(D18:D61)</f>
        <v>318464.33999999997</v>
      </c>
      <c r="E62" s="38">
        <f>SUM(E18:E61)</f>
        <v>1</v>
      </c>
      <c r="F62" s="39">
        <f>SUM(F18:F61)</f>
        <v>86528.700000000012</v>
      </c>
      <c r="G62" s="39">
        <f>SUM(G18:G61)</f>
        <v>4326.4349999999995</v>
      </c>
      <c r="H62" s="40">
        <f>SUM(H18:H61)</f>
        <v>90855.135000000009</v>
      </c>
    </row>
    <row r="63" spans="1:8" customFormat="1" x14ac:dyDescent="0.25">
      <c r="F63" s="41"/>
    </row>
    <row r="64" spans="1:8" customFormat="1" x14ac:dyDescent="0.25">
      <c r="F64" s="41"/>
    </row>
    <row r="65" spans="2:8" customFormat="1" x14ac:dyDescent="0.25">
      <c r="B65" s="115" t="s">
        <v>143</v>
      </c>
      <c r="C65" s="115"/>
      <c r="F65" s="41"/>
    </row>
    <row r="66" spans="2:8" customFormat="1" x14ac:dyDescent="0.25">
      <c r="B66" s="116" t="s">
        <v>144</v>
      </c>
      <c r="C66" s="117"/>
      <c r="E66" s="41"/>
      <c r="H66" s="42"/>
    </row>
    <row r="67" spans="2:8" customFormat="1" x14ac:dyDescent="0.25">
      <c r="E67" s="41"/>
      <c r="H67" s="43"/>
    </row>
    <row r="68" spans="2:8" customFormat="1" x14ac:dyDescent="0.25">
      <c r="D68" s="44"/>
      <c r="E68" s="41"/>
      <c r="H68" s="42"/>
    </row>
    <row r="69" spans="2:8" customFormat="1" x14ac:dyDescent="0.25">
      <c r="E69" s="41"/>
    </row>
    <row r="70" spans="2:8" customFormat="1" x14ac:dyDescent="0.25"/>
    <row r="71" spans="2:8" customFormat="1" x14ac:dyDescent="0.25"/>
    <row r="72" spans="2:8" customFormat="1" x14ac:dyDescent="0.25"/>
    <row r="73" spans="2:8" customFormat="1" x14ac:dyDescent="0.25"/>
    <row r="74" spans="2:8" customFormat="1" x14ac:dyDescent="0.25"/>
    <row r="75" spans="2:8" customFormat="1" x14ac:dyDescent="0.25"/>
    <row r="76" spans="2:8" customFormat="1" x14ac:dyDescent="0.25"/>
    <row r="77" spans="2:8" customFormat="1" x14ac:dyDescent="0.25"/>
    <row r="78" spans="2:8" customFormat="1" x14ac:dyDescent="0.25"/>
    <row r="79" spans="2:8" customFormat="1" x14ac:dyDescent="0.25"/>
    <row r="80" spans="2:8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spans="1:8" customFormat="1" x14ac:dyDescent="0.25"/>
    <row r="146" spans="1:8" customFormat="1" x14ac:dyDescent="0.25"/>
    <row r="147" spans="1:8" customFormat="1" x14ac:dyDescent="0.25"/>
    <row r="148" spans="1:8" customFormat="1" x14ac:dyDescent="0.25"/>
    <row r="149" spans="1:8" customFormat="1" x14ac:dyDescent="0.25">
      <c r="A149" s="45"/>
      <c r="B149" s="45"/>
      <c r="C149" s="45"/>
      <c r="D149" s="45"/>
      <c r="E149" s="45"/>
    </row>
    <row r="150" spans="1:8" x14ac:dyDescent="0.25">
      <c r="F150"/>
      <c r="G150"/>
      <c r="H150"/>
    </row>
    <row r="151" spans="1:8" x14ac:dyDescent="0.25">
      <c r="F151"/>
      <c r="G151"/>
      <c r="H151"/>
    </row>
    <row r="152" spans="1:8" x14ac:dyDescent="0.25">
      <c r="F152"/>
      <c r="G152"/>
      <c r="H152"/>
    </row>
    <row r="153" spans="1:8" x14ac:dyDescent="0.25">
      <c r="F153"/>
      <c r="G153"/>
      <c r="H153"/>
    </row>
    <row r="154" spans="1:8" x14ac:dyDescent="0.25">
      <c r="F154"/>
      <c r="G154"/>
      <c r="H154"/>
    </row>
    <row r="155" spans="1:8" x14ac:dyDescent="0.25">
      <c r="F155"/>
      <c r="G155"/>
      <c r="H155"/>
    </row>
    <row r="156" spans="1:8" x14ac:dyDescent="0.25">
      <c r="F156"/>
      <c r="G156"/>
      <c r="H156"/>
    </row>
    <row r="157" spans="1:8" x14ac:dyDescent="0.25">
      <c r="F157"/>
      <c r="G157"/>
      <c r="H157"/>
    </row>
    <row r="158" spans="1:8" x14ac:dyDescent="0.25">
      <c r="F158"/>
      <c r="G158"/>
      <c r="H158"/>
    </row>
    <row r="159" spans="1:8" x14ac:dyDescent="0.25">
      <c r="F159"/>
      <c r="G159"/>
      <c r="H159"/>
    </row>
    <row r="160" spans="1:8" x14ac:dyDescent="0.25">
      <c r="F160"/>
      <c r="G160"/>
      <c r="H160"/>
    </row>
    <row r="161" spans="6:8" x14ac:dyDescent="0.25">
      <c r="F161"/>
      <c r="G161"/>
      <c r="H161"/>
    </row>
    <row r="162" spans="6:8" x14ac:dyDescent="0.25">
      <c r="F162"/>
      <c r="G162"/>
      <c r="H162"/>
    </row>
    <row r="163" spans="6:8" x14ac:dyDescent="0.25">
      <c r="F163"/>
      <c r="G163"/>
      <c r="H163"/>
    </row>
    <row r="164" spans="6:8" x14ac:dyDescent="0.25">
      <c r="F164"/>
      <c r="G164"/>
      <c r="H164"/>
    </row>
    <row r="165" spans="6:8" x14ac:dyDescent="0.25">
      <c r="F165"/>
      <c r="G165"/>
      <c r="H165"/>
    </row>
    <row r="166" spans="6:8" x14ac:dyDescent="0.25">
      <c r="F166"/>
      <c r="G166"/>
      <c r="H166"/>
    </row>
    <row r="167" spans="6:8" x14ac:dyDescent="0.25">
      <c r="F167"/>
      <c r="G167"/>
      <c r="H167"/>
    </row>
    <row r="168" spans="6:8" x14ac:dyDescent="0.25">
      <c r="F168"/>
      <c r="G168"/>
      <c r="H168"/>
    </row>
    <row r="169" spans="6:8" x14ac:dyDescent="0.25">
      <c r="F169"/>
      <c r="G169"/>
      <c r="H169"/>
    </row>
    <row r="170" spans="6:8" x14ac:dyDescent="0.25">
      <c r="F170"/>
      <c r="G170"/>
      <c r="H170"/>
    </row>
    <row r="171" spans="6:8" x14ac:dyDescent="0.25">
      <c r="F171"/>
      <c r="G171"/>
      <c r="H171"/>
    </row>
    <row r="172" spans="6:8" x14ac:dyDescent="0.25">
      <c r="F172"/>
      <c r="G172"/>
      <c r="H172"/>
    </row>
    <row r="173" spans="6:8" x14ac:dyDescent="0.25">
      <c r="F173"/>
      <c r="G173"/>
      <c r="H173"/>
    </row>
    <row r="174" spans="6:8" x14ac:dyDescent="0.25">
      <c r="F174"/>
      <c r="G174"/>
      <c r="H174"/>
    </row>
    <row r="175" spans="6:8" x14ac:dyDescent="0.25">
      <c r="F175"/>
      <c r="G175"/>
      <c r="H175"/>
    </row>
    <row r="176" spans="6:8" x14ac:dyDescent="0.25">
      <c r="F176"/>
      <c r="G176"/>
      <c r="H176"/>
    </row>
    <row r="177" spans="6:8" x14ac:dyDescent="0.25">
      <c r="F177"/>
      <c r="G177"/>
      <c r="H177"/>
    </row>
    <row r="178" spans="6:8" x14ac:dyDescent="0.25">
      <c r="F178"/>
      <c r="G178"/>
      <c r="H178"/>
    </row>
    <row r="179" spans="6:8" x14ac:dyDescent="0.25">
      <c r="F179"/>
      <c r="G179"/>
      <c r="H179"/>
    </row>
    <row r="180" spans="6:8" x14ac:dyDescent="0.25">
      <c r="F180"/>
      <c r="G180"/>
      <c r="H180"/>
    </row>
    <row r="181" spans="6:8" x14ac:dyDescent="0.25">
      <c r="F181"/>
      <c r="G181"/>
      <c r="H181"/>
    </row>
    <row r="182" spans="6:8" x14ac:dyDescent="0.25">
      <c r="F182"/>
      <c r="G182"/>
      <c r="H182"/>
    </row>
    <row r="183" spans="6:8" x14ac:dyDescent="0.25">
      <c r="F183"/>
      <c r="G183"/>
      <c r="H183"/>
    </row>
    <row r="184" spans="6:8" x14ac:dyDescent="0.25">
      <c r="F184"/>
      <c r="G184"/>
      <c r="H184"/>
    </row>
    <row r="185" spans="6:8" x14ac:dyDescent="0.25">
      <c r="F185"/>
      <c r="G185"/>
      <c r="H185"/>
    </row>
    <row r="186" spans="6:8" x14ac:dyDescent="0.25">
      <c r="F186"/>
      <c r="G186"/>
      <c r="H186"/>
    </row>
    <row r="187" spans="6:8" x14ac:dyDescent="0.25">
      <c r="F187"/>
      <c r="G187"/>
      <c r="H187"/>
    </row>
    <row r="188" spans="6:8" x14ac:dyDescent="0.25">
      <c r="F188"/>
      <c r="G188"/>
      <c r="H188"/>
    </row>
    <row r="189" spans="6:8" x14ac:dyDescent="0.25">
      <c r="F189"/>
      <c r="G189"/>
      <c r="H189"/>
    </row>
    <row r="190" spans="6:8" x14ac:dyDescent="0.25">
      <c r="F190"/>
      <c r="G190"/>
      <c r="H190"/>
    </row>
    <row r="191" spans="6:8" x14ac:dyDescent="0.25">
      <c r="F191"/>
      <c r="G191"/>
      <c r="H191"/>
    </row>
    <row r="192" spans="6:8" x14ac:dyDescent="0.25">
      <c r="F192"/>
      <c r="G192"/>
      <c r="H192"/>
    </row>
    <row r="193" spans="6:8" x14ac:dyDescent="0.25">
      <c r="F193"/>
      <c r="G193"/>
      <c r="H193"/>
    </row>
    <row r="194" spans="6:8" x14ac:dyDescent="0.25">
      <c r="F194"/>
      <c r="G194"/>
      <c r="H194"/>
    </row>
    <row r="195" spans="6:8" x14ac:dyDescent="0.25">
      <c r="F195"/>
      <c r="G195"/>
      <c r="H195"/>
    </row>
    <row r="196" spans="6:8" x14ac:dyDescent="0.25">
      <c r="F196"/>
      <c r="G196"/>
      <c r="H196"/>
    </row>
    <row r="197" spans="6:8" x14ac:dyDescent="0.25">
      <c r="F197"/>
      <c r="G197"/>
      <c r="H197"/>
    </row>
    <row r="198" spans="6:8" x14ac:dyDescent="0.25">
      <c r="F198"/>
      <c r="G198"/>
      <c r="H198"/>
    </row>
    <row r="199" spans="6:8" x14ac:dyDescent="0.25">
      <c r="F199"/>
      <c r="G199"/>
      <c r="H199"/>
    </row>
    <row r="200" spans="6:8" x14ac:dyDescent="0.25">
      <c r="F200"/>
      <c r="G200"/>
      <c r="H200"/>
    </row>
    <row r="201" spans="6:8" x14ac:dyDescent="0.25">
      <c r="F201"/>
      <c r="G201"/>
      <c r="H201"/>
    </row>
    <row r="202" spans="6:8" x14ac:dyDescent="0.25">
      <c r="F202"/>
      <c r="G202"/>
      <c r="H202"/>
    </row>
    <row r="203" spans="6:8" x14ac:dyDescent="0.25">
      <c r="F203"/>
      <c r="G203"/>
      <c r="H203"/>
    </row>
    <row r="204" spans="6:8" x14ac:dyDescent="0.25">
      <c r="F204"/>
      <c r="G204"/>
      <c r="H204"/>
    </row>
    <row r="205" spans="6:8" x14ac:dyDescent="0.25">
      <c r="F205"/>
      <c r="G205"/>
      <c r="H205"/>
    </row>
    <row r="206" spans="6:8" x14ac:dyDescent="0.25">
      <c r="F206"/>
      <c r="G206"/>
      <c r="H206"/>
    </row>
    <row r="207" spans="6:8" x14ac:dyDescent="0.25">
      <c r="F207"/>
      <c r="G207"/>
      <c r="H207"/>
    </row>
    <row r="208" spans="6:8" x14ac:dyDescent="0.25">
      <c r="F208"/>
      <c r="G208"/>
      <c r="H208"/>
    </row>
    <row r="209" spans="6:8" x14ac:dyDescent="0.25">
      <c r="F209"/>
      <c r="G209"/>
      <c r="H209"/>
    </row>
    <row r="210" spans="6:8" x14ac:dyDescent="0.25">
      <c r="F210"/>
      <c r="G210"/>
      <c r="H210"/>
    </row>
    <row r="211" spans="6:8" x14ac:dyDescent="0.25">
      <c r="F211"/>
      <c r="G211"/>
      <c r="H211"/>
    </row>
    <row r="212" spans="6:8" x14ac:dyDescent="0.25">
      <c r="F212"/>
      <c r="G212"/>
      <c r="H212"/>
    </row>
    <row r="213" spans="6:8" x14ac:dyDescent="0.25">
      <c r="F213"/>
      <c r="G213"/>
      <c r="H213"/>
    </row>
    <row r="214" spans="6:8" x14ac:dyDescent="0.25">
      <c r="F214"/>
      <c r="G214"/>
      <c r="H214"/>
    </row>
    <row r="215" spans="6:8" x14ac:dyDescent="0.25">
      <c r="F215"/>
      <c r="G215"/>
      <c r="H215"/>
    </row>
    <row r="216" spans="6:8" x14ac:dyDescent="0.25">
      <c r="F216"/>
      <c r="G216"/>
      <c r="H216"/>
    </row>
    <row r="217" spans="6:8" x14ac:dyDescent="0.25">
      <c r="F217"/>
      <c r="G217"/>
      <c r="H217"/>
    </row>
    <row r="218" spans="6:8" x14ac:dyDescent="0.25">
      <c r="F218"/>
      <c r="G218"/>
      <c r="H218"/>
    </row>
    <row r="219" spans="6:8" x14ac:dyDescent="0.25">
      <c r="F219"/>
      <c r="G219"/>
      <c r="H219"/>
    </row>
    <row r="220" spans="6:8" x14ac:dyDescent="0.25">
      <c r="F220"/>
      <c r="G220"/>
      <c r="H220"/>
    </row>
    <row r="221" spans="6:8" x14ac:dyDescent="0.25">
      <c r="F221"/>
      <c r="G221"/>
      <c r="H221"/>
    </row>
    <row r="222" spans="6:8" x14ac:dyDescent="0.25">
      <c r="F222"/>
      <c r="G222"/>
      <c r="H222"/>
    </row>
    <row r="223" spans="6:8" x14ac:dyDescent="0.25">
      <c r="F223"/>
      <c r="G223"/>
      <c r="H223"/>
    </row>
    <row r="224" spans="6:8" x14ac:dyDescent="0.25">
      <c r="F224"/>
      <c r="G224"/>
      <c r="H224"/>
    </row>
    <row r="225" spans="6:8" x14ac:dyDescent="0.25">
      <c r="F225"/>
      <c r="G225"/>
      <c r="H225"/>
    </row>
    <row r="226" spans="6:8" x14ac:dyDescent="0.25">
      <c r="F226"/>
      <c r="G226"/>
      <c r="H226"/>
    </row>
    <row r="227" spans="6:8" x14ac:dyDescent="0.25">
      <c r="F227"/>
      <c r="G227"/>
      <c r="H227"/>
    </row>
    <row r="228" spans="6:8" x14ac:dyDescent="0.25">
      <c r="F228"/>
      <c r="G228"/>
      <c r="H228"/>
    </row>
    <row r="229" spans="6:8" x14ac:dyDescent="0.25">
      <c r="F229"/>
      <c r="G229"/>
      <c r="H229"/>
    </row>
    <row r="230" spans="6:8" x14ac:dyDescent="0.25">
      <c r="F230"/>
      <c r="G230"/>
      <c r="H230"/>
    </row>
    <row r="231" spans="6:8" x14ac:dyDescent="0.25">
      <c r="G231"/>
      <c r="H231"/>
    </row>
  </sheetData>
  <mergeCells count="3">
    <mergeCell ref="B1:G1"/>
    <mergeCell ref="B65:C65"/>
    <mergeCell ref="B66:C66"/>
  </mergeCells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B3A40-486B-4AC8-95B2-2B5CAEB23B42}">
  <dimension ref="A1:L226"/>
  <sheetViews>
    <sheetView topLeftCell="A36" zoomScaleNormal="100" workbookViewId="0">
      <selection activeCell="A47" sqref="A47"/>
    </sheetView>
  </sheetViews>
  <sheetFormatPr defaultColWidth="9.140625" defaultRowHeight="15" x14ac:dyDescent="0.25"/>
  <cols>
    <col min="1" max="1" width="29.5703125" style="45" customWidth="1"/>
    <col min="2" max="2" width="45.28515625" style="45" customWidth="1"/>
    <col min="3" max="3" width="29.7109375" style="45" customWidth="1"/>
    <col min="4" max="4" width="21.42578125" style="45" customWidth="1"/>
    <col min="5" max="5" width="17.42578125" style="45" customWidth="1"/>
    <col min="6" max="6" width="16.42578125" style="45" customWidth="1"/>
    <col min="7" max="7" width="17.140625" style="45" customWidth="1"/>
    <col min="8" max="8" width="16.85546875" style="45" bestFit="1" customWidth="1"/>
    <col min="9" max="16384" width="9.140625" style="45"/>
  </cols>
  <sheetData>
    <row r="1" spans="1:8" customFormat="1" ht="21.75" customHeight="1" x14ac:dyDescent="0.25">
      <c r="A1" s="46"/>
      <c r="B1" s="112" t="s">
        <v>0</v>
      </c>
      <c r="C1" s="113"/>
      <c r="D1" s="113"/>
      <c r="E1" s="113"/>
      <c r="F1" s="113"/>
      <c r="G1" s="114"/>
      <c r="H1" s="47"/>
    </row>
    <row r="2" spans="1:8" customFormat="1" ht="30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3"/>
      <c r="F2" s="4" t="s">
        <v>5</v>
      </c>
      <c r="G2" s="5"/>
      <c r="H2" s="6"/>
    </row>
    <row r="3" spans="1:8" customFormat="1" ht="30.6" customHeight="1" x14ac:dyDescent="0.25">
      <c r="A3" s="7">
        <v>1</v>
      </c>
      <c r="B3" s="8" t="s">
        <v>6</v>
      </c>
      <c r="C3" s="8"/>
      <c r="D3" s="9">
        <v>45778</v>
      </c>
      <c r="E3" s="9"/>
      <c r="F3" s="10">
        <f>532.69+550+5000</f>
        <v>6082.6900000000005</v>
      </c>
      <c r="G3" s="5"/>
      <c r="H3" s="6"/>
    </row>
    <row r="4" spans="1:8" customFormat="1" ht="30.6" customHeight="1" x14ac:dyDescent="0.25">
      <c r="A4" s="7">
        <v>2</v>
      </c>
      <c r="B4" s="8" t="s">
        <v>8</v>
      </c>
      <c r="C4" s="8" t="s">
        <v>9</v>
      </c>
      <c r="D4" s="9">
        <v>45778</v>
      </c>
      <c r="E4" s="9"/>
      <c r="F4" s="10">
        <v>39590</v>
      </c>
      <c r="G4" s="5"/>
      <c r="H4" s="11"/>
    </row>
    <row r="5" spans="1:8" customFormat="1" ht="30.6" customHeight="1" x14ac:dyDescent="0.25">
      <c r="A5" s="7">
        <v>3</v>
      </c>
      <c r="B5" s="8" t="s">
        <v>10</v>
      </c>
      <c r="C5" s="12" t="s">
        <v>11</v>
      </c>
      <c r="D5" s="9">
        <v>45778</v>
      </c>
      <c r="E5" s="9"/>
      <c r="F5" s="10">
        <v>39510.6</v>
      </c>
      <c r="G5" s="5"/>
      <c r="H5" s="11"/>
    </row>
    <row r="6" spans="1:8" customFormat="1" ht="30.6" customHeight="1" x14ac:dyDescent="0.25">
      <c r="A6" s="7">
        <v>4</v>
      </c>
      <c r="B6" s="8" t="s">
        <v>12</v>
      </c>
      <c r="C6" s="8"/>
      <c r="D6" s="9">
        <v>45778</v>
      </c>
      <c r="E6" s="9"/>
      <c r="F6" s="10">
        <v>386.89</v>
      </c>
      <c r="G6" s="5"/>
      <c r="H6" s="6"/>
    </row>
    <row r="7" spans="1:8" customFormat="1" ht="30.6" customHeight="1" x14ac:dyDescent="0.25">
      <c r="A7" s="7">
        <v>5</v>
      </c>
      <c r="B7" s="8" t="s">
        <v>13</v>
      </c>
      <c r="C7" s="8" t="s">
        <v>14</v>
      </c>
      <c r="D7" s="9">
        <v>45778</v>
      </c>
      <c r="E7" s="9"/>
      <c r="F7" s="13">
        <v>1518</v>
      </c>
      <c r="G7" s="5"/>
      <c r="H7" s="6"/>
    </row>
    <row r="8" spans="1:8" customFormat="1" ht="30.6" customHeight="1" x14ac:dyDescent="0.25">
      <c r="A8" s="7">
        <v>6</v>
      </c>
      <c r="B8" s="8" t="s">
        <v>15</v>
      </c>
      <c r="C8" s="8" t="s">
        <v>16</v>
      </c>
      <c r="D8" s="9">
        <v>45778</v>
      </c>
      <c r="E8" s="9"/>
      <c r="F8" s="13">
        <v>2500</v>
      </c>
      <c r="G8" s="5"/>
      <c r="H8" s="6"/>
    </row>
    <row r="9" spans="1:8" customFormat="1" ht="34.5" customHeight="1" x14ac:dyDescent="0.25">
      <c r="A9" s="7">
        <v>7</v>
      </c>
      <c r="B9" s="14" t="s">
        <v>17</v>
      </c>
      <c r="C9" s="12" t="s">
        <v>18</v>
      </c>
      <c r="D9" s="9">
        <v>45778</v>
      </c>
      <c r="E9" s="9"/>
      <c r="F9" s="13">
        <v>880</v>
      </c>
      <c r="G9" s="5"/>
      <c r="H9" s="6"/>
    </row>
    <row r="10" spans="1:8" customFormat="1" ht="30.6" customHeight="1" x14ac:dyDescent="0.25">
      <c r="A10" s="7">
        <v>8</v>
      </c>
      <c r="B10" s="14" t="s">
        <v>19</v>
      </c>
      <c r="C10" s="14" t="s">
        <v>20</v>
      </c>
      <c r="D10" s="9">
        <v>45778</v>
      </c>
      <c r="E10" s="9"/>
      <c r="F10" s="13">
        <v>107.79</v>
      </c>
      <c r="G10" s="5"/>
      <c r="H10" s="6"/>
    </row>
    <row r="11" spans="1:8" customFormat="1" ht="30.6" customHeight="1" x14ac:dyDescent="0.25">
      <c r="A11" s="7">
        <v>9</v>
      </c>
      <c r="B11" s="14" t="s">
        <v>149</v>
      </c>
      <c r="C11" s="14" t="s">
        <v>150</v>
      </c>
      <c r="D11" s="9">
        <v>45778</v>
      </c>
      <c r="E11" s="9"/>
      <c r="F11" s="13">
        <v>149.9</v>
      </c>
      <c r="G11" s="5"/>
      <c r="H11" s="6"/>
    </row>
    <row r="12" spans="1:8" customFormat="1" ht="30.6" customHeight="1" x14ac:dyDescent="0.25">
      <c r="A12" s="7">
        <v>10</v>
      </c>
      <c r="B12" s="14" t="s">
        <v>21</v>
      </c>
      <c r="C12" s="12" t="s">
        <v>22</v>
      </c>
      <c r="D12" s="9">
        <v>45778</v>
      </c>
      <c r="E12" s="9"/>
      <c r="F12" s="13">
        <v>385</v>
      </c>
      <c r="G12" s="5"/>
      <c r="H12" s="15"/>
    </row>
    <row r="13" spans="1:8" customFormat="1" ht="30.6" customHeight="1" x14ac:dyDescent="0.25">
      <c r="A13" s="7">
        <v>11</v>
      </c>
      <c r="B13" s="14" t="s">
        <v>23</v>
      </c>
      <c r="C13" s="8"/>
      <c r="D13" s="9">
        <v>45778</v>
      </c>
      <c r="E13" s="9"/>
      <c r="F13" s="13"/>
      <c r="G13" s="5"/>
      <c r="H13" s="6"/>
    </row>
    <row r="14" spans="1:8" customFormat="1" ht="31.5" customHeight="1" x14ac:dyDescent="0.25">
      <c r="A14" s="7">
        <v>12</v>
      </c>
      <c r="B14" s="14" t="s">
        <v>24</v>
      </c>
      <c r="C14" s="12" t="s">
        <v>25</v>
      </c>
      <c r="D14" s="9">
        <v>45778</v>
      </c>
      <c r="E14" s="9"/>
      <c r="F14" s="13">
        <v>370.1</v>
      </c>
      <c r="G14" s="5"/>
      <c r="H14" s="6"/>
    </row>
    <row r="15" spans="1:8" customFormat="1" ht="45" x14ac:dyDescent="0.25">
      <c r="A15" s="7">
        <v>13</v>
      </c>
      <c r="B15" s="14" t="s">
        <v>157</v>
      </c>
      <c r="C15" s="12" t="s">
        <v>166</v>
      </c>
      <c r="D15" s="9">
        <v>45778</v>
      </c>
      <c r="E15" s="9"/>
      <c r="F15" s="13">
        <v>197.75</v>
      </c>
      <c r="G15" s="5"/>
      <c r="H15" s="6"/>
    </row>
    <row r="16" spans="1:8" customFormat="1" ht="42" customHeight="1" x14ac:dyDescent="0.25">
      <c r="A16" s="48"/>
      <c r="B16" s="49" t="s">
        <v>31</v>
      </c>
      <c r="C16" s="50"/>
      <c r="D16" s="51"/>
      <c r="E16" s="52"/>
      <c r="F16" s="53">
        <f>SUM(F3:F15)</f>
        <v>91678.720000000001</v>
      </c>
      <c r="G16" s="54"/>
      <c r="H16" s="55"/>
    </row>
    <row r="17" spans="1:12" customFormat="1" ht="21.75" customHeight="1" x14ac:dyDescent="0.25">
      <c r="A17" s="16" t="s">
        <v>32</v>
      </c>
      <c r="B17" s="17" t="s">
        <v>33</v>
      </c>
      <c r="C17" s="18" t="s">
        <v>34</v>
      </c>
      <c r="D17" s="16" t="s">
        <v>35</v>
      </c>
      <c r="E17" s="16" t="s">
        <v>36</v>
      </c>
      <c r="F17" s="16" t="s">
        <v>37</v>
      </c>
      <c r="G17" s="19" t="s">
        <v>38</v>
      </c>
      <c r="H17" s="18" t="s">
        <v>39</v>
      </c>
    </row>
    <row r="18" spans="1:12" s="72" customFormat="1" ht="15" customHeight="1" x14ac:dyDescent="0.25">
      <c r="A18" s="65" t="s">
        <v>40</v>
      </c>
      <c r="B18" s="66" t="s">
        <v>41</v>
      </c>
      <c r="C18" s="67" t="s">
        <v>42</v>
      </c>
      <c r="D18" s="68">
        <v>4016</v>
      </c>
      <c r="E18" s="69">
        <f>D18/$D$60</f>
        <v>1.3299610959886176E-2</v>
      </c>
      <c r="F18" s="70">
        <f>$F$16*E18</f>
        <v>1219.291309300336</v>
      </c>
      <c r="G18" s="71">
        <f>F18*5%</f>
        <v>60.964565465016804</v>
      </c>
      <c r="H18" s="71">
        <f t="shared" ref="H18:H59" si="0">F18+G18</f>
        <v>1280.2558747653529</v>
      </c>
    </row>
    <row r="19" spans="1:12" s="74" customFormat="1" x14ac:dyDescent="0.25">
      <c r="A19" s="65" t="s">
        <v>43</v>
      </c>
      <c r="B19" s="73" t="s">
        <v>44</v>
      </c>
      <c r="C19" s="67">
        <v>18778225000139</v>
      </c>
      <c r="D19" s="68">
        <v>8711.2199999999993</v>
      </c>
      <c r="E19" s="69">
        <f t="shared" ref="E19:E59" si="1">D19/$D$60</f>
        <v>2.8848564986548714E-2</v>
      </c>
      <c r="F19" s="70">
        <f t="shared" ref="F19:F59" si="2">$F$16*E19</f>
        <v>2644.7995118036033</v>
      </c>
      <c r="G19" s="71">
        <f t="shared" ref="G19:G59" si="3">F19*5%</f>
        <v>132.23997559018017</v>
      </c>
      <c r="H19" s="71">
        <f t="shared" si="0"/>
        <v>2777.0394873937835</v>
      </c>
    </row>
    <row r="20" spans="1:12" s="74" customFormat="1" x14ac:dyDescent="0.25">
      <c r="A20" s="65" t="s">
        <v>45</v>
      </c>
      <c r="B20" s="73" t="s">
        <v>46</v>
      </c>
      <c r="C20" s="67">
        <v>41993875000119</v>
      </c>
      <c r="D20" s="68">
        <v>3641.8</v>
      </c>
      <c r="E20" s="69">
        <f t="shared" si="1"/>
        <v>1.206038924146252E-2</v>
      </c>
      <c r="F20" s="70">
        <f t="shared" si="2"/>
        <v>1105.6810483590548</v>
      </c>
      <c r="G20" s="71">
        <f t="shared" si="3"/>
        <v>55.284052417952743</v>
      </c>
      <c r="H20" s="71">
        <f t="shared" si="0"/>
        <v>1160.9651007770076</v>
      </c>
    </row>
    <row r="21" spans="1:12" s="74" customFormat="1" x14ac:dyDescent="0.25">
      <c r="A21" s="65" t="s">
        <v>47</v>
      </c>
      <c r="B21" s="66" t="s">
        <v>48</v>
      </c>
      <c r="C21" s="67">
        <v>24781302000102</v>
      </c>
      <c r="D21" s="68">
        <v>3430</v>
      </c>
      <c r="E21" s="69">
        <f t="shared" si="1"/>
        <v>1.1358980476197605E-2</v>
      </c>
      <c r="F21" s="70">
        <f t="shared" si="2"/>
        <v>1041.3767905627869</v>
      </c>
      <c r="G21" s="71">
        <f t="shared" si="3"/>
        <v>52.06883952813935</v>
      </c>
      <c r="H21" s="71">
        <f t="shared" si="0"/>
        <v>1093.4456300909262</v>
      </c>
    </row>
    <row r="22" spans="1:12" customFormat="1" x14ac:dyDescent="0.25">
      <c r="A22" s="20" t="s">
        <v>161</v>
      </c>
      <c r="B22" s="66" t="s">
        <v>162</v>
      </c>
      <c r="C22" s="22" t="s">
        <v>163</v>
      </c>
      <c r="D22" s="23">
        <v>9403</v>
      </c>
      <c r="E22" s="69">
        <f t="shared" si="1"/>
        <v>3.1139502454135885E-2</v>
      </c>
      <c r="F22" s="70">
        <f t="shared" si="2"/>
        <v>2854.8297264320368</v>
      </c>
      <c r="G22" s="26">
        <f t="shared" si="3"/>
        <v>142.74148632160185</v>
      </c>
      <c r="H22" s="26">
        <f t="shared" si="0"/>
        <v>2997.5712127536385</v>
      </c>
    </row>
    <row r="23" spans="1:12" s="74" customFormat="1" x14ac:dyDescent="0.25">
      <c r="A23" s="65" t="s">
        <v>49</v>
      </c>
      <c r="B23" s="66" t="s">
        <v>50</v>
      </c>
      <c r="C23" s="67">
        <v>38649716000197</v>
      </c>
      <c r="D23" s="68">
        <v>3440</v>
      </c>
      <c r="E23" s="69">
        <f t="shared" si="1"/>
        <v>1.1392097037352699E-2</v>
      </c>
      <c r="F23" s="70">
        <f t="shared" si="2"/>
        <v>1044.4128745002877</v>
      </c>
      <c r="G23" s="71">
        <f t="shared" si="3"/>
        <v>52.220643725014384</v>
      </c>
      <c r="H23" s="71">
        <f t="shared" si="0"/>
        <v>1096.6335182253019</v>
      </c>
    </row>
    <row r="24" spans="1:12" s="74" customFormat="1" x14ac:dyDescent="0.25">
      <c r="A24" s="65" t="s">
        <v>51</v>
      </c>
      <c r="B24" s="66" t="s">
        <v>52</v>
      </c>
      <c r="C24" s="67" t="s">
        <v>53</v>
      </c>
      <c r="D24" s="68">
        <v>4056</v>
      </c>
      <c r="E24" s="69">
        <f t="shared" si="1"/>
        <v>1.3432077204506556E-2</v>
      </c>
      <c r="F24" s="70">
        <f t="shared" si="2"/>
        <v>1231.4356450503394</v>
      </c>
      <c r="G24" s="71">
        <f t="shared" si="3"/>
        <v>61.571782252516975</v>
      </c>
      <c r="H24" s="71">
        <f t="shared" si="0"/>
        <v>1293.0074273028563</v>
      </c>
    </row>
    <row r="25" spans="1:12" s="74" customFormat="1" x14ac:dyDescent="0.25">
      <c r="A25" s="65" t="s">
        <v>54</v>
      </c>
      <c r="B25" s="66" t="s">
        <v>55</v>
      </c>
      <c r="C25" s="67" t="s">
        <v>56</v>
      </c>
      <c r="D25" s="68">
        <v>11580</v>
      </c>
      <c r="E25" s="69">
        <f t="shared" si="1"/>
        <v>3.8348977817600077E-2</v>
      </c>
      <c r="F25" s="70">
        <f t="shared" si="2"/>
        <v>3515.7851996259687</v>
      </c>
      <c r="G25" s="71">
        <f t="shared" si="3"/>
        <v>175.78925998129844</v>
      </c>
      <c r="H25" s="71">
        <f t="shared" si="0"/>
        <v>3691.5744596072673</v>
      </c>
    </row>
    <row r="26" spans="1:12" s="74" customFormat="1" x14ac:dyDescent="0.25">
      <c r="A26" s="65" t="s">
        <v>57</v>
      </c>
      <c r="B26" s="66" t="s">
        <v>58</v>
      </c>
      <c r="C26" s="67" t="s">
        <v>59</v>
      </c>
      <c r="D26" s="68">
        <f>360+360+1510</f>
        <v>2230</v>
      </c>
      <c r="E26" s="69">
        <f t="shared" si="1"/>
        <v>7.3849931375861979E-3</v>
      </c>
      <c r="F26" s="70">
        <f t="shared" si="2"/>
        <v>677.04671806268652</v>
      </c>
      <c r="G26" s="71">
        <f t="shared" si="3"/>
        <v>33.852335903134325</v>
      </c>
      <c r="H26" s="71">
        <f t="shared" si="0"/>
        <v>710.89905396582083</v>
      </c>
    </row>
    <row r="27" spans="1:12" s="79" customFormat="1" ht="15.75" customHeight="1" x14ac:dyDescent="0.25">
      <c r="A27" s="65" t="s">
        <v>60</v>
      </c>
      <c r="B27" s="75" t="s">
        <v>61</v>
      </c>
      <c r="C27" s="76" t="s">
        <v>62</v>
      </c>
      <c r="D27" s="68">
        <f>5224+3930</f>
        <v>9154</v>
      </c>
      <c r="E27" s="69">
        <f t="shared" si="1"/>
        <v>3.0314900081374017E-2</v>
      </c>
      <c r="F27" s="70">
        <f t="shared" si="2"/>
        <v>2779.2312363882656</v>
      </c>
      <c r="G27" s="71">
        <f t="shared" si="3"/>
        <v>138.96156181941328</v>
      </c>
      <c r="H27" s="77">
        <f t="shared" si="0"/>
        <v>2918.1927982076791</v>
      </c>
      <c r="I27" s="78" t="s">
        <v>63</v>
      </c>
      <c r="L27" s="79" t="s">
        <v>64</v>
      </c>
    </row>
    <row r="28" spans="1:12" s="74" customFormat="1" ht="15.75" customHeight="1" x14ac:dyDescent="0.25">
      <c r="A28" s="65" t="s">
        <v>65</v>
      </c>
      <c r="B28" s="73" t="s">
        <v>66</v>
      </c>
      <c r="C28" s="67" t="s">
        <v>67</v>
      </c>
      <c r="D28" s="68">
        <v>2610</v>
      </c>
      <c r="E28" s="69">
        <f t="shared" si="1"/>
        <v>8.6434224614798105E-3</v>
      </c>
      <c r="F28" s="70">
        <f t="shared" si="2"/>
        <v>792.4179076877183</v>
      </c>
      <c r="G28" s="71">
        <f t="shared" si="3"/>
        <v>39.620895384385918</v>
      </c>
      <c r="H28" s="71">
        <f t="shared" si="0"/>
        <v>832.0388030721042</v>
      </c>
    </row>
    <row r="29" spans="1:12" s="74" customFormat="1" ht="15.75" customHeight="1" x14ac:dyDescent="0.25">
      <c r="A29" s="65" t="s">
        <v>68</v>
      </c>
      <c r="B29" s="73" t="s">
        <v>69</v>
      </c>
      <c r="C29" s="67" t="s">
        <v>70</v>
      </c>
      <c r="D29" s="68">
        <v>5515</v>
      </c>
      <c r="E29" s="69">
        <f t="shared" si="1"/>
        <v>1.8263783477034924E-2</v>
      </c>
      <c r="F29" s="70">
        <f t="shared" si="2"/>
        <v>1674.4002915317112</v>
      </c>
      <c r="G29" s="71">
        <f t="shared" si="3"/>
        <v>83.720014576585569</v>
      </c>
      <c r="H29" s="71">
        <f t="shared" si="0"/>
        <v>1758.1203061082967</v>
      </c>
    </row>
    <row r="30" spans="1:12" s="74" customFormat="1" ht="15.75" customHeight="1" x14ac:dyDescent="0.25">
      <c r="A30" s="65" t="s">
        <v>71</v>
      </c>
      <c r="B30" s="66" t="s">
        <v>72</v>
      </c>
      <c r="C30" s="67">
        <v>17202383000183</v>
      </c>
      <c r="D30" s="68">
        <v>15332</v>
      </c>
      <c r="E30" s="69">
        <f t="shared" si="1"/>
        <v>5.0774311562991746E-2</v>
      </c>
      <c r="F30" s="70">
        <f t="shared" si="2"/>
        <v>4654.9238929762823</v>
      </c>
      <c r="G30" s="71">
        <f t="shared" si="3"/>
        <v>232.74619464881414</v>
      </c>
      <c r="H30" s="71">
        <f t="shared" si="0"/>
        <v>4887.6700876250961</v>
      </c>
    </row>
    <row r="31" spans="1:12" s="74" customFormat="1" ht="15.75" customHeight="1" x14ac:dyDescent="0.25">
      <c r="A31" s="65" t="s">
        <v>73</v>
      </c>
      <c r="B31" s="66" t="s">
        <v>74</v>
      </c>
      <c r="C31" s="67">
        <v>18183488000103</v>
      </c>
      <c r="D31" s="68">
        <v>7238</v>
      </c>
      <c r="E31" s="69">
        <f t="shared" si="1"/>
        <v>2.3969766964057802E-2</v>
      </c>
      <c r="F31" s="70">
        <f t="shared" si="2"/>
        <v>2197.5175539631055</v>
      </c>
      <c r="G31" s="71">
        <f t="shared" si="3"/>
        <v>109.87587769815528</v>
      </c>
      <c r="H31" s="71">
        <f t="shared" si="0"/>
        <v>2307.3934316612608</v>
      </c>
    </row>
    <row r="32" spans="1:12" s="74" customFormat="1" x14ac:dyDescent="0.25">
      <c r="A32" s="65" t="s">
        <v>75</v>
      </c>
      <c r="B32" s="66" t="s">
        <v>76</v>
      </c>
      <c r="C32" s="67">
        <v>18244070000150</v>
      </c>
      <c r="D32" s="68">
        <v>5941</v>
      </c>
      <c r="E32" s="69">
        <f t="shared" si="1"/>
        <v>1.9674548982241975E-2</v>
      </c>
      <c r="F32" s="70">
        <f t="shared" si="2"/>
        <v>1803.737467269247</v>
      </c>
      <c r="G32" s="71">
        <f t="shared" si="3"/>
        <v>90.186873363462354</v>
      </c>
      <c r="H32" s="71">
        <f t="shared" si="0"/>
        <v>1893.9243406327093</v>
      </c>
    </row>
    <row r="33" spans="1:12" s="74" customFormat="1" x14ac:dyDescent="0.25">
      <c r="A33" s="65" t="s">
        <v>77</v>
      </c>
      <c r="B33" s="66" t="s">
        <v>78</v>
      </c>
      <c r="C33" s="67">
        <v>18244039000110</v>
      </c>
      <c r="D33" s="68">
        <v>4460</v>
      </c>
      <c r="E33" s="69">
        <f t="shared" si="1"/>
        <v>1.4769986275172396E-2</v>
      </c>
      <c r="F33" s="70">
        <f t="shared" si="2"/>
        <v>1354.093436125373</v>
      </c>
      <c r="G33" s="71">
        <f t="shared" si="3"/>
        <v>67.704671806268649</v>
      </c>
      <c r="H33" s="71">
        <f t="shared" si="0"/>
        <v>1421.7981079316417</v>
      </c>
    </row>
    <row r="34" spans="1:12" s="74" customFormat="1" x14ac:dyDescent="0.25">
      <c r="A34" s="65" t="s">
        <v>79</v>
      </c>
      <c r="B34" s="66" t="s">
        <v>153</v>
      </c>
      <c r="C34" s="67" t="s">
        <v>154</v>
      </c>
      <c r="D34" s="68">
        <v>4415</v>
      </c>
      <c r="E34" s="69">
        <f t="shared" si="1"/>
        <v>1.4620961749974468E-2</v>
      </c>
      <c r="F34" s="70">
        <f t="shared" si="2"/>
        <v>1340.4310584066193</v>
      </c>
      <c r="G34" s="71">
        <f t="shared" si="3"/>
        <v>67.021552920330961</v>
      </c>
      <c r="H34" s="71">
        <f t="shared" si="0"/>
        <v>1407.4526113269503</v>
      </c>
    </row>
    <row r="35" spans="1:12" s="74" customFormat="1" x14ac:dyDescent="0.25">
      <c r="A35" s="65" t="s">
        <v>81</v>
      </c>
      <c r="B35" s="66" t="s">
        <v>82</v>
      </c>
      <c r="C35" s="67" t="s">
        <v>83</v>
      </c>
      <c r="D35" s="68">
        <v>8673</v>
      </c>
      <c r="E35" s="69">
        <f t="shared" si="1"/>
        <v>2.8721993489813944E-2</v>
      </c>
      <c r="F35" s="70">
        <f t="shared" si="2"/>
        <v>2633.1955989944754</v>
      </c>
      <c r="G35" s="71">
        <f t="shared" si="3"/>
        <v>131.65977994972377</v>
      </c>
      <c r="H35" s="71">
        <f t="shared" si="0"/>
        <v>2764.8553789441994</v>
      </c>
    </row>
    <row r="36" spans="1:12" s="74" customFormat="1" x14ac:dyDescent="0.25">
      <c r="A36" s="65" t="s">
        <v>84</v>
      </c>
      <c r="B36" s="66" t="s">
        <v>155</v>
      </c>
      <c r="C36" s="67" t="s">
        <v>86</v>
      </c>
      <c r="D36" s="68">
        <v>9239</v>
      </c>
      <c r="E36" s="69">
        <f t="shared" si="1"/>
        <v>3.0596390851192326E-2</v>
      </c>
      <c r="F36" s="70">
        <f t="shared" si="2"/>
        <v>2805.0379498570228</v>
      </c>
      <c r="G36" s="71">
        <f t="shared" si="3"/>
        <v>140.25189749285116</v>
      </c>
      <c r="H36" s="71">
        <f t="shared" si="0"/>
        <v>2945.289847349874</v>
      </c>
    </row>
    <row r="37" spans="1:12" s="74" customFormat="1" x14ac:dyDescent="0.25">
      <c r="A37" s="65" t="s">
        <v>87</v>
      </c>
      <c r="B37" s="66" t="s">
        <v>88</v>
      </c>
      <c r="C37" s="67" t="s">
        <v>89</v>
      </c>
      <c r="D37" s="68">
        <v>4892</v>
      </c>
      <c r="E37" s="69">
        <f t="shared" si="1"/>
        <v>1.6200621717072504E-2</v>
      </c>
      <c r="F37" s="70">
        <f t="shared" si="2"/>
        <v>1485.2522622254094</v>
      </c>
      <c r="G37" s="71">
        <f t="shared" si="3"/>
        <v>74.262613111270468</v>
      </c>
      <c r="H37" s="71">
        <f t="shared" si="0"/>
        <v>1559.5148753366798</v>
      </c>
    </row>
    <row r="38" spans="1:12" s="74" customFormat="1" x14ac:dyDescent="0.25">
      <c r="A38" s="65" t="s">
        <v>90</v>
      </c>
      <c r="B38" s="66" t="s">
        <v>91</v>
      </c>
      <c r="C38" s="67">
        <v>41497649000147</v>
      </c>
      <c r="D38" s="68">
        <v>2526</v>
      </c>
      <c r="E38" s="69">
        <f t="shared" si="1"/>
        <v>8.3652433477770117E-3</v>
      </c>
      <c r="F38" s="70">
        <f t="shared" si="2"/>
        <v>766.91480261271124</v>
      </c>
      <c r="G38" s="71">
        <f t="shared" si="3"/>
        <v>38.345740130635562</v>
      </c>
      <c r="H38" s="71">
        <f t="shared" si="0"/>
        <v>805.26054274334683</v>
      </c>
    </row>
    <row r="39" spans="1:12" s="74" customFormat="1" x14ac:dyDescent="0.25">
      <c r="A39" s="65" t="s">
        <v>92</v>
      </c>
      <c r="B39" s="66" t="s">
        <v>93</v>
      </c>
      <c r="C39" s="67">
        <v>40580071000125</v>
      </c>
      <c r="D39" s="68">
        <v>3600</v>
      </c>
      <c r="E39" s="69">
        <f t="shared" si="1"/>
        <v>1.1921962015834221E-2</v>
      </c>
      <c r="F39" s="70">
        <f t="shared" si="2"/>
        <v>1092.990217500301</v>
      </c>
      <c r="G39" s="71">
        <f t="shared" si="3"/>
        <v>54.649510875015054</v>
      </c>
      <c r="H39" s="71">
        <f t="shared" si="0"/>
        <v>1147.6397283753161</v>
      </c>
      <c r="I39" s="78" t="s">
        <v>63</v>
      </c>
      <c r="L39" s="74" t="s">
        <v>94</v>
      </c>
    </row>
    <row r="40" spans="1:12" s="74" customFormat="1" x14ac:dyDescent="0.25">
      <c r="A40" s="65" t="s">
        <v>95</v>
      </c>
      <c r="B40" s="66" t="s">
        <v>96</v>
      </c>
      <c r="C40" s="67" t="s">
        <v>97</v>
      </c>
      <c r="D40" s="68">
        <v>3938</v>
      </c>
      <c r="E40" s="69">
        <f t="shared" si="1"/>
        <v>1.3041301782876434E-2</v>
      </c>
      <c r="F40" s="70">
        <f t="shared" si="2"/>
        <v>1195.6098545878294</v>
      </c>
      <c r="G40" s="71">
        <f t="shared" si="3"/>
        <v>59.780492729391476</v>
      </c>
      <c r="H40" s="71">
        <f t="shared" si="0"/>
        <v>1255.3903473172209</v>
      </c>
    </row>
    <row r="41" spans="1:12" s="74" customFormat="1" x14ac:dyDescent="0.25">
      <c r="A41" s="65" t="s">
        <v>98</v>
      </c>
      <c r="B41" s="66" t="s">
        <v>99</v>
      </c>
      <c r="C41" s="67">
        <v>18788190000119</v>
      </c>
      <c r="D41" s="68">
        <v>3707</v>
      </c>
      <c r="E41" s="69">
        <f t="shared" si="1"/>
        <v>1.2276309220193739E-2</v>
      </c>
      <c r="F41" s="70">
        <f t="shared" si="2"/>
        <v>1125.4763156315601</v>
      </c>
      <c r="G41" s="71">
        <f t="shared" si="3"/>
        <v>56.273815781578008</v>
      </c>
      <c r="H41" s="71">
        <f t="shared" si="0"/>
        <v>1181.750131413138</v>
      </c>
    </row>
    <row r="42" spans="1:12" s="74" customFormat="1" x14ac:dyDescent="0.25">
      <c r="A42" s="65" t="s">
        <v>100</v>
      </c>
      <c r="B42" s="66" t="s">
        <v>101</v>
      </c>
      <c r="C42" s="67">
        <v>42109766000159</v>
      </c>
      <c r="D42" s="68">
        <v>5117</v>
      </c>
      <c r="E42" s="69">
        <f t="shared" si="1"/>
        <v>1.694574434306214E-2</v>
      </c>
      <c r="F42" s="70">
        <f t="shared" si="2"/>
        <v>1553.5641508191779</v>
      </c>
      <c r="G42" s="71">
        <f t="shared" si="3"/>
        <v>77.678207540958908</v>
      </c>
      <c r="H42" s="71">
        <f t="shared" si="0"/>
        <v>1631.2423583601369</v>
      </c>
    </row>
    <row r="43" spans="1:12" s="74" customFormat="1" x14ac:dyDescent="0.25">
      <c r="A43" s="65" t="s">
        <v>102</v>
      </c>
      <c r="B43" s="66" t="s">
        <v>99</v>
      </c>
      <c r="C43" s="67">
        <v>18788190000119</v>
      </c>
      <c r="D43" s="68">
        <v>14717</v>
      </c>
      <c r="E43" s="69">
        <f t="shared" si="1"/>
        <v>4.8737643051953397E-2</v>
      </c>
      <c r="F43" s="70">
        <f t="shared" si="2"/>
        <v>4468.2047308199808</v>
      </c>
      <c r="G43" s="71">
        <f t="shared" si="3"/>
        <v>223.41023654099905</v>
      </c>
      <c r="H43" s="71">
        <f t="shared" si="0"/>
        <v>4691.6149673609798</v>
      </c>
    </row>
    <row r="44" spans="1:12" s="74" customFormat="1" ht="13.5" customHeight="1" x14ac:dyDescent="0.25">
      <c r="A44" s="65" t="s">
        <v>103</v>
      </c>
      <c r="B44" s="66" t="s">
        <v>104</v>
      </c>
      <c r="C44" s="67">
        <v>32302613000170</v>
      </c>
      <c r="D44" s="68">
        <v>5439</v>
      </c>
      <c r="E44" s="69">
        <f t="shared" si="1"/>
        <v>1.8012097612256202E-2</v>
      </c>
      <c r="F44" s="70">
        <f t="shared" si="2"/>
        <v>1651.3260536067048</v>
      </c>
      <c r="G44" s="71">
        <f t="shared" si="3"/>
        <v>82.566302680335241</v>
      </c>
      <c r="H44" s="71">
        <f t="shared" si="0"/>
        <v>1733.89235628704</v>
      </c>
    </row>
    <row r="45" spans="1:12" s="74" customFormat="1" x14ac:dyDescent="0.25">
      <c r="A45" s="65" t="s">
        <v>105</v>
      </c>
      <c r="B45" s="66" t="s">
        <v>106</v>
      </c>
      <c r="C45" s="67">
        <v>28616552000148</v>
      </c>
      <c r="D45" s="68">
        <v>4123.71</v>
      </c>
      <c r="E45" s="69">
        <f t="shared" si="1"/>
        <v>1.3656309440087704E-2</v>
      </c>
      <c r="F45" s="70">
        <f t="shared" si="2"/>
        <v>1251.9929693911574</v>
      </c>
      <c r="G45" s="71">
        <f t="shared" si="3"/>
        <v>62.599648469557877</v>
      </c>
      <c r="H45" s="71">
        <f t="shared" si="0"/>
        <v>1314.5926178607153</v>
      </c>
    </row>
    <row r="46" spans="1:12" s="74" customFormat="1" x14ac:dyDescent="0.25">
      <c r="A46" s="65" t="s">
        <v>107</v>
      </c>
      <c r="B46" s="66" t="s">
        <v>108</v>
      </c>
      <c r="C46" s="67">
        <v>42579914000107</v>
      </c>
      <c r="D46" s="68">
        <v>4986.3599999999997</v>
      </c>
      <c r="E46" s="69">
        <f t="shared" si="1"/>
        <v>1.6513109588131979E-2</v>
      </c>
      <c r="F46" s="70">
        <f t="shared" si="2"/>
        <v>1513.9007502596671</v>
      </c>
      <c r="G46" s="71">
        <f t="shared" si="3"/>
        <v>75.695037512983362</v>
      </c>
      <c r="H46" s="71">
        <f t="shared" si="0"/>
        <v>1589.5957877726505</v>
      </c>
    </row>
    <row r="47" spans="1:12" s="74" customFormat="1" x14ac:dyDescent="0.25">
      <c r="A47" s="65" t="s">
        <v>109</v>
      </c>
      <c r="B47" s="66" t="s">
        <v>110</v>
      </c>
      <c r="C47" s="67" t="s">
        <v>111</v>
      </c>
      <c r="D47" s="68">
        <v>7462</v>
      </c>
      <c r="E47" s="69">
        <f t="shared" si="1"/>
        <v>2.4711577933931934E-2</v>
      </c>
      <c r="F47" s="70">
        <f t="shared" si="2"/>
        <v>2265.5258341631243</v>
      </c>
      <c r="G47" s="71">
        <f t="shared" si="3"/>
        <v>113.27629170815622</v>
      </c>
      <c r="H47" s="71">
        <f t="shared" si="0"/>
        <v>2378.8021258712806</v>
      </c>
    </row>
    <row r="48" spans="1:12" s="74" customFormat="1" x14ac:dyDescent="0.25">
      <c r="A48" s="65" t="s">
        <v>112</v>
      </c>
      <c r="B48" s="66" t="s">
        <v>113</v>
      </c>
      <c r="C48" s="67" t="s">
        <v>114</v>
      </c>
      <c r="D48" s="68">
        <v>5525</v>
      </c>
      <c r="E48" s="69">
        <f t="shared" si="1"/>
        <v>1.8296900038190018E-2</v>
      </c>
      <c r="F48" s="70">
        <f t="shared" si="2"/>
        <v>1677.436375469212</v>
      </c>
      <c r="G48" s="71">
        <f t="shared" si="3"/>
        <v>83.871818773460603</v>
      </c>
      <c r="H48" s="71">
        <f t="shared" si="0"/>
        <v>1761.3081942426725</v>
      </c>
    </row>
    <row r="49" spans="1:8" s="74" customFormat="1" x14ac:dyDescent="0.25">
      <c r="A49" s="65" t="s">
        <v>115</v>
      </c>
      <c r="B49" s="66" t="s">
        <v>116</v>
      </c>
      <c r="C49" s="67">
        <v>26480299000112</v>
      </c>
      <c r="D49" s="68"/>
      <c r="E49" s="69">
        <f t="shared" si="1"/>
        <v>0</v>
      </c>
      <c r="F49" s="70">
        <f t="shared" si="2"/>
        <v>0</v>
      </c>
      <c r="G49" s="71">
        <f t="shared" si="3"/>
        <v>0</v>
      </c>
      <c r="H49" s="71">
        <f t="shared" si="0"/>
        <v>0</v>
      </c>
    </row>
    <row r="50" spans="1:8" s="74" customFormat="1" x14ac:dyDescent="0.25">
      <c r="A50" s="65" t="s">
        <v>117</v>
      </c>
      <c r="B50" s="66" t="s">
        <v>118</v>
      </c>
      <c r="C50" s="67" t="s">
        <v>119</v>
      </c>
      <c r="D50" s="68">
        <v>4943</v>
      </c>
      <c r="E50" s="69">
        <f t="shared" si="1"/>
        <v>1.6369516178963487E-2</v>
      </c>
      <c r="F50" s="70">
        <f t="shared" si="2"/>
        <v>1500.7362903066635</v>
      </c>
      <c r="G50" s="71">
        <f t="shared" si="3"/>
        <v>75.036814515333177</v>
      </c>
      <c r="H50" s="71">
        <f t="shared" si="0"/>
        <v>1575.7731048219966</v>
      </c>
    </row>
    <row r="51" spans="1:8" s="74" customFormat="1" x14ac:dyDescent="0.25">
      <c r="A51" s="65" t="s">
        <v>120</v>
      </c>
      <c r="B51" s="66" t="s">
        <v>121</v>
      </c>
      <c r="C51" s="67">
        <v>12997366000166</v>
      </c>
      <c r="D51" s="68">
        <v>5160</v>
      </c>
      <c r="E51" s="69">
        <f t="shared" si="1"/>
        <v>1.7088145556029052E-2</v>
      </c>
      <c r="F51" s="70">
        <f t="shared" si="2"/>
        <v>1566.6193117504317</v>
      </c>
      <c r="G51" s="71">
        <f t="shared" si="3"/>
        <v>78.33096558752159</v>
      </c>
      <c r="H51" s="71">
        <f t="shared" si="0"/>
        <v>1644.9502773379534</v>
      </c>
    </row>
    <row r="52" spans="1:8" s="74" customFormat="1" ht="16.5" customHeight="1" x14ac:dyDescent="0.25">
      <c r="A52" s="65" t="s">
        <v>122</v>
      </c>
      <c r="B52" s="66" t="s">
        <v>123</v>
      </c>
      <c r="C52" s="67" t="s">
        <v>124</v>
      </c>
      <c r="D52" s="68">
        <v>6586</v>
      </c>
      <c r="E52" s="69">
        <f t="shared" si="1"/>
        <v>2.1810567176745607E-2</v>
      </c>
      <c r="F52" s="70">
        <f t="shared" si="2"/>
        <v>1999.5648812380512</v>
      </c>
      <c r="G52" s="71">
        <f t="shared" si="3"/>
        <v>99.978244061902558</v>
      </c>
      <c r="H52" s="71">
        <f t="shared" si="0"/>
        <v>2099.5431252999538</v>
      </c>
    </row>
    <row r="53" spans="1:8" customFormat="1" x14ac:dyDescent="0.25">
      <c r="A53" s="20" t="s">
        <v>125</v>
      </c>
      <c r="B53" s="21" t="s">
        <v>126</v>
      </c>
      <c r="C53" s="22">
        <v>11884518000151</v>
      </c>
      <c r="D53" s="23">
        <v>5644</v>
      </c>
      <c r="E53" s="24">
        <f t="shared" si="1"/>
        <v>1.8690987115935653E-2</v>
      </c>
      <c r="F53" s="25">
        <f t="shared" si="2"/>
        <v>1713.5657743254721</v>
      </c>
      <c r="G53" s="26">
        <f t="shared" si="3"/>
        <v>85.678288716273613</v>
      </c>
      <c r="H53" s="26">
        <f t="shared" si="0"/>
        <v>1799.2440630417457</v>
      </c>
    </row>
    <row r="54" spans="1:8" s="74" customFormat="1" x14ac:dyDescent="0.25">
      <c r="A54" s="65" t="s">
        <v>127</v>
      </c>
      <c r="B54" s="66" t="s">
        <v>128</v>
      </c>
      <c r="C54" s="67">
        <v>36188051000136</v>
      </c>
      <c r="D54" s="68">
        <v>6936</v>
      </c>
      <c r="E54" s="69">
        <f t="shared" si="1"/>
        <v>2.2969646817173933E-2</v>
      </c>
      <c r="F54" s="70">
        <f t="shared" si="2"/>
        <v>2105.8278190505803</v>
      </c>
      <c r="G54" s="71">
        <f t="shared" si="3"/>
        <v>105.29139095252901</v>
      </c>
      <c r="H54" s="71">
        <f t="shared" si="0"/>
        <v>2211.1192100031094</v>
      </c>
    </row>
    <row r="55" spans="1:8" s="74" customFormat="1" x14ac:dyDescent="0.25">
      <c r="A55" s="65" t="s">
        <v>129</v>
      </c>
      <c r="B55" s="66" t="s">
        <v>130</v>
      </c>
      <c r="C55" s="67" t="s">
        <v>131</v>
      </c>
      <c r="D55" s="68">
        <f>7425*40%</f>
        <v>2970</v>
      </c>
      <c r="E55" s="69">
        <f t="shared" si="1"/>
        <v>9.8356186630632319E-3</v>
      </c>
      <c r="F55" s="70">
        <f t="shared" si="2"/>
        <v>901.71692943774838</v>
      </c>
      <c r="G55" s="71">
        <f t="shared" si="3"/>
        <v>45.085846471887422</v>
      </c>
      <c r="H55" s="71">
        <f t="shared" si="0"/>
        <v>946.80277590963578</v>
      </c>
    </row>
    <row r="56" spans="1:8" s="74" customFormat="1" x14ac:dyDescent="0.25">
      <c r="A56" s="65" t="s">
        <v>132</v>
      </c>
      <c r="B56" s="66" t="s">
        <v>133</v>
      </c>
      <c r="C56" s="67">
        <v>18741082000190</v>
      </c>
      <c r="D56" s="68">
        <v>12183</v>
      </c>
      <c r="E56" s="69">
        <f t="shared" si="1"/>
        <v>4.0345906455252309E-2</v>
      </c>
      <c r="F56" s="70">
        <f t="shared" si="2"/>
        <v>3698.8610610572691</v>
      </c>
      <c r="G56" s="71">
        <f t="shared" si="3"/>
        <v>184.94305305286346</v>
      </c>
      <c r="H56" s="71">
        <f t="shared" si="0"/>
        <v>3883.8041141101326</v>
      </c>
    </row>
    <row r="57" spans="1:8" s="74" customFormat="1" x14ac:dyDescent="0.25">
      <c r="A57" s="65" t="s">
        <v>134</v>
      </c>
      <c r="B57" s="66" t="s">
        <v>135</v>
      </c>
      <c r="C57" s="67" t="s">
        <v>136</v>
      </c>
      <c r="D57" s="68">
        <v>4814</v>
      </c>
      <c r="E57" s="69">
        <f t="shared" si="1"/>
        <v>1.5942312540062762E-2</v>
      </c>
      <c r="F57" s="70">
        <f t="shared" si="2"/>
        <v>1461.5708075129028</v>
      </c>
      <c r="G57" s="71">
        <f t="shared" si="3"/>
        <v>73.078540375645147</v>
      </c>
      <c r="H57" s="71">
        <f t="shared" si="0"/>
        <v>1534.6493478885479</v>
      </c>
    </row>
    <row r="58" spans="1:8" s="74" customFormat="1" x14ac:dyDescent="0.25">
      <c r="A58" s="65" t="s">
        <v>137</v>
      </c>
      <c r="B58" s="66" t="s">
        <v>138</v>
      </c>
      <c r="C58" s="67" t="s">
        <v>139</v>
      </c>
      <c r="D58" s="68">
        <v>3476.86</v>
      </c>
      <c r="E58" s="69">
        <f t="shared" si="1"/>
        <v>1.1514164681770382E-2</v>
      </c>
      <c r="F58" s="70">
        <f t="shared" si="2"/>
        <v>1055.603879893916</v>
      </c>
      <c r="G58" s="71">
        <f t="shared" si="3"/>
        <v>52.7801939946958</v>
      </c>
      <c r="H58" s="71">
        <f t="shared" si="0"/>
        <v>1108.3840738886117</v>
      </c>
    </row>
    <row r="59" spans="1:8" s="74" customFormat="1" x14ac:dyDescent="0.25">
      <c r="A59" s="65" t="s">
        <v>140</v>
      </c>
      <c r="B59" s="73" t="s">
        <v>141</v>
      </c>
      <c r="C59" s="67">
        <v>11884518000151</v>
      </c>
      <c r="D59" s="68">
        <f>81377.44-14717-3314-9239+11302+4126.33-9403</f>
        <v>60132.770000000004</v>
      </c>
      <c r="E59" s="69">
        <f t="shared" si="1"/>
        <v>0.19913905551302657</v>
      </c>
      <c r="F59" s="70">
        <f t="shared" si="2"/>
        <v>18256.813711443221</v>
      </c>
      <c r="G59" s="71">
        <f t="shared" si="3"/>
        <v>912.84068557216108</v>
      </c>
      <c r="H59" s="71">
        <f t="shared" si="0"/>
        <v>19169.654397015383</v>
      </c>
    </row>
    <row r="60" spans="1:8" customFormat="1" x14ac:dyDescent="0.25">
      <c r="A60" s="34"/>
      <c r="B60" s="35"/>
      <c r="C60" s="36" t="s">
        <v>142</v>
      </c>
      <c r="D60" s="37">
        <f>SUM(D18:D59)</f>
        <v>301963.71999999997</v>
      </c>
      <c r="E60" s="38">
        <f>SUM(E18:E59)</f>
        <v>1</v>
      </c>
      <c r="F60" s="39">
        <f>SUM(F18:F59)</f>
        <v>91678.720000000001</v>
      </c>
      <c r="G60" s="39">
        <f>SUM(G18:G59)</f>
        <v>4583.9360000000006</v>
      </c>
      <c r="H60" s="40">
        <f>SUM(H18:H59)</f>
        <v>96262.655999999988</v>
      </c>
    </row>
    <row r="61" spans="1:8" customFormat="1" x14ac:dyDescent="0.25">
      <c r="F61" s="41"/>
    </row>
    <row r="62" spans="1:8" customFormat="1" x14ac:dyDescent="0.25">
      <c r="F62" s="41"/>
    </row>
    <row r="63" spans="1:8" customFormat="1" x14ac:dyDescent="0.25">
      <c r="D63" s="44"/>
      <c r="E63" s="41"/>
      <c r="H63" s="42"/>
    </row>
    <row r="64" spans="1:8" customFormat="1" x14ac:dyDescent="0.25">
      <c r="E64" s="41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spans="1:5" customFormat="1" x14ac:dyDescent="0.25"/>
    <row r="130" spans="1:5" customFormat="1" x14ac:dyDescent="0.25"/>
    <row r="131" spans="1:5" customFormat="1" x14ac:dyDescent="0.25"/>
    <row r="132" spans="1:5" customFormat="1" x14ac:dyDescent="0.25"/>
    <row r="133" spans="1:5" customFormat="1" x14ac:dyDescent="0.25"/>
    <row r="134" spans="1:5" customFormat="1" x14ac:dyDescent="0.25"/>
    <row r="135" spans="1:5" customFormat="1" x14ac:dyDescent="0.25"/>
    <row r="136" spans="1:5" customFormat="1" x14ac:dyDescent="0.25"/>
    <row r="137" spans="1:5" customFormat="1" x14ac:dyDescent="0.25"/>
    <row r="138" spans="1:5" customFormat="1" x14ac:dyDescent="0.25"/>
    <row r="139" spans="1:5" customFormat="1" x14ac:dyDescent="0.25"/>
    <row r="140" spans="1:5" customFormat="1" x14ac:dyDescent="0.25"/>
    <row r="141" spans="1:5" customFormat="1" x14ac:dyDescent="0.25"/>
    <row r="142" spans="1:5" customFormat="1" x14ac:dyDescent="0.25"/>
    <row r="143" spans="1:5" customFormat="1" x14ac:dyDescent="0.25"/>
    <row r="144" spans="1:5" customFormat="1" x14ac:dyDescent="0.25">
      <c r="A144" s="45"/>
      <c r="B144" s="45"/>
      <c r="C144" s="45"/>
      <c r="D144" s="45"/>
      <c r="E144" s="45"/>
    </row>
    <row r="145" spans="6:8" x14ac:dyDescent="0.25">
      <c r="F145"/>
      <c r="G145"/>
      <c r="H145"/>
    </row>
    <row r="146" spans="6:8" x14ac:dyDescent="0.25">
      <c r="F146"/>
      <c r="G146"/>
      <c r="H146"/>
    </row>
    <row r="147" spans="6:8" x14ac:dyDescent="0.25">
      <c r="F147"/>
      <c r="G147"/>
      <c r="H147"/>
    </row>
    <row r="148" spans="6:8" x14ac:dyDescent="0.25">
      <c r="F148"/>
      <c r="G148"/>
      <c r="H148"/>
    </row>
    <row r="149" spans="6:8" x14ac:dyDescent="0.25">
      <c r="F149"/>
      <c r="G149"/>
      <c r="H149"/>
    </row>
    <row r="150" spans="6:8" x14ac:dyDescent="0.25">
      <c r="F150"/>
      <c r="G150"/>
      <c r="H150"/>
    </row>
    <row r="151" spans="6:8" x14ac:dyDescent="0.25">
      <c r="F151"/>
      <c r="G151"/>
      <c r="H151"/>
    </row>
    <row r="152" spans="6:8" x14ac:dyDescent="0.25">
      <c r="F152"/>
      <c r="G152"/>
      <c r="H152"/>
    </row>
    <row r="153" spans="6:8" x14ac:dyDescent="0.25">
      <c r="F153"/>
      <c r="G153"/>
      <c r="H153"/>
    </row>
    <row r="154" spans="6:8" x14ac:dyDescent="0.25">
      <c r="F154"/>
      <c r="G154"/>
      <c r="H154"/>
    </row>
    <row r="155" spans="6:8" x14ac:dyDescent="0.25">
      <c r="F155"/>
      <c r="G155"/>
      <c r="H155"/>
    </row>
    <row r="156" spans="6:8" x14ac:dyDescent="0.25">
      <c r="F156"/>
      <c r="G156"/>
      <c r="H156"/>
    </row>
    <row r="157" spans="6:8" x14ac:dyDescent="0.25">
      <c r="F157"/>
      <c r="G157"/>
      <c r="H157"/>
    </row>
    <row r="158" spans="6:8" x14ac:dyDescent="0.25">
      <c r="F158"/>
      <c r="G158"/>
      <c r="H158"/>
    </row>
    <row r="159" spans="6:8" x14ac:dyDescent="0.25">
      <c r="F159"/>
      <c r="G159"/>
      <c r="H159"/>
    </row>
    <row r="160" spans="6:8" x14ac:dyDescent="0.25">
      <c r="F160"/>
      <c r="G160"/>
      <c r="H160"/>
    </row>
    <row r="161" spans="6:8" x14ac:dyDescent="0.25">
      <c r="F161"/>
      <c r="G161"/>
      <c r="H161"/>
    </row>
    <row r="162" spans="6:8" x14ac:dyDescent="0.25">
      <c r="F162"/>
      <c r="G162"/>
      <c r="H162"/>
    </row>
    <row r="163" spans="6:8" x14ac:dyDescent="0.25">
      <c r="F163"/>
      <c r="G163"/>
      <c r="H163"/>
    </row>
    <row r="164" spans="6:8" x14ac:dyDescent="0.25">
      <c r="F164"/>
      <c r="G164"/>
      <c r="H164"/>
    </row>
    <row r="165" spans="6:8" x14ac:dyDescent="0.25">
      <c r="F165"/>
      <c r="G165"/>
      <c r="H165"/>
    </row>
    <row r="166" spans="6:8" x14ac:dyDescent="0.25">
      <c r="F166"/>
      <c r="G166"/>
      <c r="H166"/>
    </row>
    <row r="167" spans="6:8" x14ac:dyDescent="0.25">
      <c r="F167"/>
      <c r="G167"/>
      <c r="H167"/>
    </row>
    <row r="168" spans="6:8" x14ac:dyDescent="0.25">
      <c r="F168"/>
      <c r="G168"/>
      <c r="H168"/>
    </row>
    <row r="169" spans="6:8" x14ac:dyDescent="0.25">
      <c r="F169"/>
      <c r="G169"/>
      <c r="H169"/>
    </row>
    <row r="170" spans="6:8" x14ac:dyDescent="0.25">
      <c r="F170"/>
      <c r="G170"/>
      <c r="H170"/>
    </row>
    <row r="171" spans="6:8" x14ac:dyDescent="0.25">
      <c r="F171"/>
      <c r="G171"/>
      <c r="H171"/>
    </row>
    <row r="172" spans="6:8" x14ac:dyDescent="0.25">
      <c r="F172"/>
      <c r="G172"/>
      <c r="H172"/>
    </row>
    <row r="173" spans="6:8" x14ac:dyDescent="0.25">
      <c r="F173"/>
      <c r="G173"/>
      <c r="H173"/>
    </row>
    <row r="174" spans="6:8" x14ac:dyDescent="0.25">
      <c r="F174"/>
      <c r="G174"/>
      <c r="H174"/>
    </row>
    <row r="175" spans="6:8" x14ac:dyDescent="0.25">
      <c r="F175"/>
      <c r="G175"/>
      <c r="H175"/>
    </row>
    <row r="176" spans="6:8" x14ac:dyDescent="0.25">
      <c r="F176"/>
      <c r="G176"/>
      <c r="H176"/>
    </row>
    <row r="177" spans="6:8" x14ac:dyDescent="0.25">
      <c r="F177"/>
      <c r="G177"/>
      <c r="H177"/>
    </row>
    <row r="178" spans="6:8" x14ac:dyDescent="0.25">
      <c r="F178"/>
      <c r="G178"/>
      <c r="H178"/>
    </row>
    <row r="179" spans="6:8" x14ac:dyDescent="0.25">
      <c r="F179"/>
      <c r="G179"/>
      <c r="H179"/>
    </row>
    <row r="180" spans="6:8" x14ac:dyDescent="0.25">
      <c r="F180"/>
      <c r="G180"/>
      <c r="H180"/>
    </row>
    <row r="181" spans="6:8" x14ac:dyDescent="0.25">
      <c r="F181"/>
      <c r="G181"/>
      <c r="H181"/>
    </row>
    <row r="182" spans="6:8" x14ac:dyDescent="0.25">
      <c r="F182"/>
      <c r="G182"/>
      <c r="H182"/>
    </row>
    <row r="183" spans="6:8" x14ac:dyDescent="0.25">
      <c r="F183"/>
      <c r="G183"/>
      <c r="H183"/>
    </row>
    <row r="184" spans="6:8" x14ac:dyDescent="0.25">
      <c r="F184"/>
      <c r="G184"/>
      <c r="H184"/>
    </row>
    <row r="185" spans="6:8" x14ac:dyDescent="0.25">
      <c r="F185"/>
      <c r="G185"/>
      <c r="H185"/>
    </row>
    <row r="186" spans="6:8" x14ac:dyDescent="0.25">
      <c r="F186"/>
      <c r="G186"/>
      <c r="H186"/>
    </row>
    <row r="187" spans="6:8" x14ac:dyDescent="0.25">
      <c r="F187"/>
      <c r="G187"/>
      <c r="H187"/>
    </row>
    <row r="188" spans="6:8" x14ac:dyDescent="0.25">
      <c r="F188"/>
      <c r="G188"/>
      <c r="H188"/>
    </row>
    <row r="189" spans="6:8" x14ac:dyDescent="0.25">
      <c r="F189"/>
      <c r="G189"/>
      <c r="H189"/>
    </row>
    <row r="190" spans="6:8" x14ac:dyDescent="0.25">
      <c r="F190"/>
      <c r="G190"/>
      <c r="H190"/>
    </row>
    <row r="191" spans="6:8" x14ac:dyDescent="0.25">
      <c r="F191"/>
      <c r="G191"/>
      <c r="H191"/>
    </row>
    <row r="192" spans="6:8" x14ac:dyDescent="0.25">
      <c r="F192"/>
      <c r="G192"/>
      <c r="H192"/>
    </row>
    <row r="193" spans="6:8" x14ac:dyDescent="0.25">
      <c r="F193"/>
      <c r="G193"/>
      <c r="H193"/>
    </row>
    <row r="194" spans="6:8" x14ac:dyDescent="0.25">
      <c r="F194"/>
      <c r="G194"/>
      <c r="H194"/>
    </row>
    <row r="195" spans="6:8" x14ac:dyDescent="0.25">
      <c r="F195"/>
      <c r="G195"/>
      <c r="H195"/>
    </row>
    <row r="196" spans="6:8" x14ac:dyDescent="0.25">
      <c r="F196"/>
      <c r="G196"/>
      <c r="H196"/>
    </row>
    <row r="197" spans="6:8" x14ac:dyDescent="0.25">
      <c r="F197"/>
      <c r="G197"/>
      <c r="H197"/>
    </row>
    <row r="198" spans="6:8" x14ac:dyDescent="0.25">
      <c r="F198"/>
      <c r="G198"/>
      <c r="H198"/>
    </row>
    <row r="199" spans="6:8" x14ac:dyDescent="0.25">
      <c r="F199"/>
      <c r="G199"/>
      <c r="H199"/>
    </row>
    <row r="200" spans="6:8" x14ac:dyDescent="0.25">
      <c r="F200"/>
      <c r="G200"/>
      <c r="H200"/>
    </row>
    <row r="201" spans="6:8" x14ac:dyDescent="0.25">
      <c r="F201"/>
      <c r="G201"/>
      <c r="H201"/>
    </row>
    <row r="202" spans="6:8" x14ac:dyDescent="0.25">
      <c r="F202"/>
      <c r="G202"/>
      <c r="H202"/>
    </row>
    <row r="203" spans="6:8" x14ac:dyDescent="0.25">
      <c r="F203"/>
      <c r="G203"/>
      <c r="H203"/>
    </row>
    <row r="204" spans="6:8" x14ac:dyDescent="0.25">
      <c r="F204"/>
      <c r="G204"/>
      <c r="H204"/>
    </row>
    <row r="205" spans="6:8" x14ac:dyDescent="0.25">
      <c r="F205"/>
      <c r="G205"/>
      <c r="H205"/>
    </row>
    <row r="206" spans="6:8" x14ac:dyDescent="0.25">
      <c r="F206"/>
      <c r="G206"/>
      <c r="H206"/>
    </row>
    <row r="207" spans="6:8" x14ac:dyDescent="0.25">
      <c r="F207"/>
      <c r="G207"/>
      <c r="H207"/>
    </row>
    <row r="208" spans="6:8" x14ac:dyDescent="0.25">
      <c r="F208"/>
      <c r="G208"/>
      <c r="H208"/>
    </row>
    <row r="209" spans="6:8" x14ac:dyDescent="0.25">
      <c r="F209"/>
      <c r="G209"/>
      <c r="H209"/>
    </row>
    <row r="210" spans="6:8" x14ac:dyDescent="0.25">
      <c r="F210"/>
      <c r="G210"/>
      <c r="H210"/>
    </row>
    <row r="211" spans="6:8" x14ac:dyDescent="0.25">
      <c r="F211"/>
      <c r="G211"/>
      <c r="H211"/>
    </row>
    <row r="212" spans="6:8" x14ac:dyDescent="0.25">
      <c r="F212"/>
      <c r="G212"/>
      <c r="H212"/>
    </row>
    <row r="213" spans="6:8" x14ac:dyDescent="0.25">
      <c r="F213"/>
      <c r="G213"/>
      <c r="H213"/>
    </row>
    <row r="214" spans="6:8" x14ac:dyDescent="0.25">
      <c r="F214"/>
      <c r="G214"/>
      <c r="H214"/>
    </row>
    <row r="215" spans="6:8" x14ac:dyDescent="0.25">
      <c r="F215"/>
      <c r="G215"/>
      <c r="H215"/>
    </row>
    <row r="216" spans="6:8" x14ac:dyDescent="0.25">
      <c r="F216"/>
      <c r="G216"/>
      <c r="H216"/>
    </row>
    <row r="217" spans="6:8" x14ac:dyDescent="0.25">
      <c r="F217"/>
      <c r="G217"/>
      <c r="H217"/>
    </row>
    <row r="218" spans="6:8" x14ac:dyDescent="0.25">
      <c r="F218"/>
      <c r="G218"/>
      <c r="H218"/>
    </row>
    <row r="219" spans="6:8" x14ac:dyDescent="0.25">
      <c r="F219"/>
      <c r="G219"/>
      <c r="H219"/>
    </row>
    <row r="220" spans="6:8" x14ac:dyDescent="0.25">
      <c r="F220"/>
      <c r="G220"/>
      <c r="H220"/>
    </row>
    <row r="221" spans="6:8" x14ac:dyDescent="0.25">
      <c r="F221"/>
      <c r="G221"/>
      <c r="H221"/>
    </row>
    <row r="222" spans="6:8" x14ac:dyDescent="0.25">
      <c r="F222"/>
      <c r="G222"/>
      <c r="H222"/>
    </row>
    <row r="223" spans="6:8" x14ac:dyDescent="0.25">
      <c r="F223"/>
      <c r="G223"/>
      <c r="H223"/>
    </row>
    <row r="224" spans="6:8" x14ac:dyDescent="0.25">
      <c r="F224"/>
      <c r="G224"/>
      <c r="H224"/>
    </row>
    <row r="225" spans="6:8" x14ac:dyDescent="0.25">
      <c r="F225"/>
      <c r="G225"/>
      <c r="H225"/>
    </row>
    <row r="226" spans="6:8" x14ac:dyDescent="0.25">
      <c r="G226"/>
      <c r="H226"/>
    </row>
  </sheetData>
  <mergeCells count="1">
    <mergeCell ref="B1:G1"/>
  </mergeCells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F86B0-8480-4D01-A6AB-41938DA5164B}">
  <dimension ref="A1:L228"/>
  <sheetViews>
    <sheetView topLeftCell="A32" zoomScaleNormal="100" workbookViewId="0">
      <selection activeCell="D61" sqref="D61"/>
    </sheetView>
  </sheetViews>
  <sheetFormatPr defaultColWidth="9.140625" defaultRowHeight="15" x14ac:dyDescent="0.25"/>
  <cols>
    <col min="1" max="1" width="29.5703125" style="45" customWidth="1"/>
    <col min="2" max="2" width="45.28515625" style="45" customWidth="1"/>
    <col min="3" max="3" width="29.7109375" style="45" customWidth="1"/>
    <col min="4" max="4" width="21.42578125" style="45" customWidth="1"/>
    <col min="5" max="5" width="17.42578125" style="45" customWidth="1"/>
    <col min="6" max="6" width="16.42578125" style="45" customWidth="1"/>
    <col min="7" max="7" width="17.140625" style="45" customWidth="1"/>
    <col min="8" max="8" width="16.85546875" style="45" bestFit="1" customWidth="1"/>
    <col min="9" max="16384" width="9.140625" style="45"/>
  </cols>
  <sheetData>
    <row r="1" spans="1:8" customFormat="1" ht="21.75" customHeight="1" x14ac:dyDescent="0.25">
      <c r="A1" s="46"/>
      <c r="B1" s="112" t="s">
        <v>0</v>
      </c>
      <c r="C1" s="113"/>
      <c r="D1" s="113"/>
      <c r="E1" s="113"/>
      <c r="F1" s="113"/>
      <c r="G1" s="114"/>
      <c r="H1" s="47"/>
    </row>
    <row r="2" spans="1:8" customFormat="1" ht="30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3"/>
      <c r="F2" s="4" t="s">
        <v>5</v>
      </c>
      <c r="G2" s="5"/>
      <c r="H2" s="6"/>
    </row>
    <row r="3" spans="1:8" customFormat="1" ht="30.6" customHeight="1" x14ac:dyDescent="0.25">
      <c r="A3" s="7">
        <v>1</v>
      </c>
      <c r="B3" s="8" t="s">
        <v>6</v>
      </c>
      <c r="C3" s="8"/>
      <c r="D3" s="9">
        <v>45778</v>
      </c>
      <c r="E3" s="9"/>
      <c r="F3" s="10">
        <f>532.69+550+5000</f>
        <v>6082.6900000000005</v>
      </c>
      <c r="G3" s="5"/>
      <c r="H3" s="6"/>
    </row>
    <row r="4" spans="1:8" customFormat="1" ht="30.6" customHeight="1" x14ac:dyDescent="0.25">
      <c r="A4" s="7">
        <v>2</v>
      </c>
      <c r="B4" s="8" t="s">
        <v>8</v>
      </c>
      <c r="C4" s="8" t="s">
        <v>9</v>
      </c>
      <c r="D4" s="9">
        <v>45778</v>
      </c>
      <c r="E4" s="9"/>
      <c r="F4" s="10">
        <v>39590</v>
      </c>
      <c r="G4" s="5"/>
      <c r="H4" s="11"/>
    </row>
    <row r="5" spans="1:8" customFormat="1" ht="30.6" customHeight="1" x14ac:dyDescent="0.25">
      <c r="A5" s="7">
        <v>3</v>
      </c>
      <c r="B5" s="8" t="s">
        <v>10</v>
      </c>
      <c r="C5" s="12" t="s">
        <v>11</v>
      </c>
      <c r="D5" s="9">
        <v>45778</v>
      </c>
      <c r="E5" s="9"/>
      <c r="F5" s="10">
        <v>39510.6</v>
      </c>
      <c r="G5" s="5"/>
      <c r="H5" s="11"/>
    </row>
    <row r="6" spans="1:8" customFormat="1" ht="30.6" customHeight="1" x14ac:dyDescent="0.25">
      <c r="A6" s="7">
        <v>4</v>
      </c>
      <c r="B6" s="8" t="s">
        <v>12</v>
      </c>
      <c r="C6" s="8"/>
      <c r="D6" s="9">
        <v>45778</v>
      </c>
      <c r="E6" s="9"/>
      <c r="F6" s="10">
        <v>386.89</v>
      </c>
      <c r="G6" s="5"/>
      <c r="H6" s="6"/>
    </row>
    <row r="7" spans="1:8" customFormat="1" ht="30.6" customHeight="1" x14ac:dyDescent="0.25">
      <c r="A7" s="7">
        <v>5</v>
      </c>
      <c r="B7" s="8" t="s">
        <v>13</v>
      </c>
      <c r="C7" s="8" t="s">
        <v>14</v>
      </c>
      <c r="D7" s="9">
        <v>45778</v>
      </c>
      <c r="E7" s="9"/>
      <c r="F7" s="13">
        <v>1518</v>
      </c>
      <c r="G7" s="5"/>
      <c r="H7" s="6"/>
    </row>
    <row r="8" spans="1:8" customFormat="1" ht="30.6" customHeight="1" x14ac:dyDescent="0.25">
      <c r="A8" s="7">
        <v>6</v>
      </c>
      <c r="B8" s="8" t="s">
        <v>15</v>
      </c>
      <c r="C8" s="8" t="s">
        <v>16</v>
      </c>
      <c r="D8" s="9">
        <v>45778</v>
      </c>
      <c r="E8" s="9"/>
      <c r="F8" s="13">
        <v>2500</v>
      </c>
      <c r="G8" s="5"/>
      <c r="H8" s="6"/>
    </row>
    <row r="9" spans="1:8" customFormat="1" ht="34.5" customHeight="1" x14ac:dyDescent="0.25">
      <c r="A9" s="7">
        <v>7</v>
      </c>
      <c r="B9" s="14" t="s">
        <v>17</v>
      </c>
      <c r="C9" s="12" t="s">
        <v>18</v>
      </c>
      <c r="D9" s="9">
        <v>45778</v>
      </c>
      <c r="E9" s="9"/>
      <c r="F9" s="13">
        <v>880</v>
      </c>
      <c r="G9" s="5"/>
      <c r="H9" s="6"/>
    </row>
    <row r="10" spans="1:8" customFormat="1" ht="30.6" customHeight="1" x14ac:dyDescent="0.25">
      <c r="A10" s="7">
        <v>8</v>
      </c>
      <c r="B10" s="14" t="s">
        <v>19</v>
      </c>
      <c r="C10" s="14" t="s">
        <v>20</v>
      </c>
      <c r="D10" s="9">
        <v>45778</v>
      </c>
      <c r="E10" s="9"/>
      <c r="F10" s="13">
        <v>107.79</v>
      </c>
      <c r="G10" s="5"/>
      <c r="H10" s="6"/>
    </row>
    <row r="11" spans="1:8" customFormat="1" ht="30.6" customHeight="1" x14ac:dyDescent="0.25">
      <c r="A11" s="7">
        <v>9</v>
      </c>
      <c r="B11" s="14" t="s">
        <v>149</v>
      </c>
      <c r="C11" s="14" t="s">
        <v>150</v>
      </c>
      <c r="D11" s="9">
        <v>45778</v>
      </c>
      <c r="E11" s="9"/>
      <c r="F11" s="13">
        <v>149.9</v>
      </c>
      <c r="G11" s="5"/>
      <c r="H11" s="6"/>
    </row>
    <row r="12" spans="1:8" customFormat="1" ht="30.6" customHeight="1" x14ac:dyDescent="0.25">
      <c r="A12" s="7">
        <v>10</v>
      </c>
      <c r="B12" s="14" t="s">
        <v>21</v>
      </c>
      <c r="C12" s="12" t="s">
        <v>22</v>
      </c>
      <c r="D12" s="9">
        <v>45778</v>
      </c>
      <c r="E12" s="9"/>
      <c r="F12" s="13">
        <v>385</v>
      </c>
      <c r="G12" s="5"/>
      <c r="H12" s="15"/>
    </row>
    <row r="13" spans="1:8" customFormat="1" ht="30.6" customHeight="1" x14ac:dyDescent="0.25">
      <c r="A13" s="7">
        <v>11</v>
      </c>
      <c r="B13" s="14" t="s">
        <v>23</v>
      </c>
      <c r="C13" s="8"/>
      <c r="D13" s="9">
        <v>45778</v>
      </c>
      <c r="E13" s="9"/>
      <c r="F13" s="13"/>
      <c r="G13" s="5"/>
      <c r="H13" s="6"/>
    </row>
    <row r="14" spans="1:8" customFormat="1" ht="31.5" customHeight="1" x14ac:dyDescent="0.25">
      <c r="A14" s="7">
        <v>12</v>
      </c>
      <c r="B14" s="14" t="s">
        <v>24</v>
      </c>
      <c r="C14" s="12" t="s">
        <v>25</v>
      </c>
      <c r="D14" s="9">
        <v>45778</v>
      </c>
      <c r="E14" s="9"/>
      <c r="F14" s="13">
        <v>370.1</v>
      </c>
      <c r="G14" s="5"/>
      <c r="H14" s="6"/>
    </row>
    <row r="15" spans="1:8" customFormat="1" ht="45" x14ac:dyDescent="0.25">
      <c r="A15" s="7">
        <v>13</v>
      </c>
      <c r="B15" s="14" t="s">
        <v>157</v>
      </c>
      <c r="C15" s="12" t="s">
        <v>166</v>
      </c>
      <c r="D15" s="9">
        <v>45778</v>
      </c>
      <c r="E15" s="9"/>
      <c r="F15" s="13">
        <v>197.75</v>
      </c>
      <c r="G15" s="5"/>
      <c r="H15" s="6"/>
    </row>
    <row r="16" spans="1:8" customFormat="1" ht="42" customHeight="1" x14ac:dyDescent="0.25">
      <c r="A16" s="48"/>
      <c r="B16" s="49" t="s">
        <v>31</v>
      </c>
      <c r="C16" s="50"/>
      <c r="D16" s="51"/>
      <c r="E16" s="52"/>
      <c r="F16" s="53">
        <f>SUM(F3:F15)</f>
        <v>91678.720000000001</v>
      </c>
      <c r="G16" s="54"/>
      <c r="H16" s="55"/>
    </row>
    <row r="17" spans="1:12" customFormat="1" ht="21.75" customHeight="1" x14ac:dyDescent="0.25">
      <c r="A17" s="16" t="s">
        <v>32</v>
      </c>
      <c r="B17" s="17" t="s">
        <v>33</v>
      </c>
      <c r="C17" s="18" t="s">
        <v>34</v>
      </c>
      <c r="D17" s="16" t="s">
        <v>35</v>
      </c>
      <c r="E17" s="16" t="s">
        <v>36</v>
      </c>
      <c r="F17" s="16" t="s">
        <v>37</v>
      </c>
      <c r="G17" s="19" t="s">
        <v>38</v>
      </c>
      <c r="H17" s="18" t="s">
        <v>39</v>
      </c>
    </row>
    <row r="18" spans="1:12" s="72" customFormat="1" ht="15" customHeight="1" x14ac:dyDescent="0.25">
      <c r="A18" s="65" t="s">
        <v>40</v>
      </c>
      <c r="B18" s="66" t="s">
        <v>41</v>
      </c>
      <c r="C18" s="67" t="s">
        <v>42</v>
      </c>
      <c r="D18" s="68">
        <v>4016</v>
      </c>
      <c r="E18" s="69">
        <f>D18/$D$62</f>
        <v>1.2610517083325563E-2</v>
      </c>
      <c r="F18" s="70">
        <f>$F$16*E18</f>
        <v>1156.1160647374211</v>
      </c>
      <c r="G18" s="71">
        <f>F18*5%</f>
        <v>57.805803236871057</v>
      </c>
      <c r="H18" s="71">
        <f t="shared" ref="H18:H61" si="0">F18+G18</f>
        <v>1213.9218679742921</v>
      </c>
    </row>
    <row r="19" spans="1:12" s="74" customFormat="1" x14ac:dyDescent="0.25">
      <c r="A19" s="65" t="s">
        <v>43</v>
      </c>
      <c r="B19" s="73" t="s">
        <v>44</v>
      </c>
      <c r="C19" s="67">
        <v>18778225000139</v>
      </c>
      <c r="D19" s="68">
        <v>8711.2199999999993</v>
      </c>
      <c r="E19" s="69">
        <f t="shared" ref="E19:E61" si="1">D19/$D$62</f>
        <v>2.7353831829334489E-2</v>
      </c>
      <c r="F19" s="70">
        <f t="shared" ref="F19:F61" si="2">$F$16*E19</f>
        <v>2507.7642892086442</v>
      </c>
      <c r="G19" s="71">
        <f t="shared" ref="G19:G61" si="3">F19*5%</f>
        <v>125.38821446043221</v>
      </c>
      <c r="H19" s="71">
        <f t="shared" si="0"/>
        <v>2633.1525036690764</v>
      </c>
    </row>
    <row r="20" spans="1:12" s="74" customFormat="1" x14ac:dyDescent="0.25">
      <c r="A20" s="65" t="s">
        <v>45</v>
      </c>
      <c r="B20" s="73" t="s">
        <v>46</v>
      </c>
      <c r="C20" s="67">
        <v>41993875000119</v>
      </c>
      <c r="D20" s="68">
        <v>3641.8</v>
      </c>
      <c r="E20" s="69">
        <f t="shared" si="1"/>
        <v>1.1435503265451952E-2</v>
      </c>
      <c r="F20" s="70">
        <f t="shared" si="2"/>
        <v>1048.3923019324552</v>
      </c>
      <c r="G20" s="71">
        <f t="shared" si="3"/>
        <v>52.419615096622763</v>
      </c>
      <c r="H20" s="71">
        <f t="shared" si="0"/>
        <v>1100.8119170290779</v>
      </c>
    </row>
    <row r="21" spans="1:12" s="74" customFormat="1" x14ac:dyDescent="0.25">
      <c r="A21" s="65" t="s">
        <v>47</v>
      </c>
      <c r="B21" s="66" t="s">
        <v>48</v>
      </c>
      <c r="C21" s="67">
        <v>24781302000102</v>
      </c>
      <c r="D21" s="68">
        <v>3430</v>
      </c>
      <c r="E21" s="69">
        <f t="shared" si="1"/>
        <v>1.0770436652342301E-2</v>
      </c>
      <c r="F21" s="70">
        <f t="shared" si="2"/>
        <v>987.41984612782721</v>
      </c>
      <c r="G21" s="71">
        <f t="shared" si="3"/>
        <v>49.370992306391365</v>
      </c>
      <c r="H21" s="71">
        <f t="shared" si="0"/>
        <v>1036.7908384342186</v>
      </c>
    </row>
    <row r="22" spans="1:12" customFormat="1" x14ac:dyDescent="0.25">
      <c r="A22" s="20" t="s">
        <v>161</v>
      </c>
      <c r="B22" s="66" t="s">
        <v>162</v>
      </c>
      <c r="C22" s="22" t="s">
        <v>163</v>
      </c>
      <c r="D22" s="23">
        <v>9403</v>
      </c>
      <c r="E22" s="69">
        <f t="shared" si="1"/>
        <v>2.9526068758593194E-2</v>
      </c>
      <c r="F22" s="70">
        <f t="shared" si="2"/>
        <v>2706.9121904198132</v>
      </c>
      <c r="G22" s="26">
        <f t="shared" si="3"/>
        <v>135.34560952099068</v>
      </c>
      <c r="H22" s="26">
        <f t="shared" si="0"/>
        <v>2842.257799940804</v>
      </c>
    </row>
    <row r="23" spans="1:12" s="74" customFormat="1" x14ac:dyDescent="0.25">
      <c r="A23" s="65" t="s">
        <v>49</v>
      </c>
      <c r="B23" s="66" t="s">
        <v>50</v>
      </c>
      <c r="C23" s="67">
        <v>38649716000197</v>
      </c>
      <c r="D23" s="68">
        <v>3440</v>
      </c>
      <c r="E23" s="69">
        <f t="shared" si="1"/>
        <v>1.0801837342290821E-2</v>
      </c>
      <c r="F23" s="70">
        <f t="shared" si="2"/>
        <v>990.29862118942435</v>
      </c>
      <c r="G23" s="71">
        <f t="shared" si="3"/>
        <v>49.514931059471223</v>
      </c>
      <c r="H23" s="71">
        <f t="shared" si="0"/>
        <v>1039.8135522488956</v>
      </c>
    </row>
    <row r="24" spans="1:12" s="74" customFormat="1" x14ac:dyDescent="0.25">
      <c r="A24" s="65" t="s">
        <v>51</v>
      </c>
      <c r="B24" s="66" t="s">
        <v>52</v>
      </c>
      <c r="C24" s="67" t="s">
        <v>53</v>
      </c>
      <c r="D24" s="68">
        <v>4056</v>
      </c>
      <c r="E24" s="69">
        <f t="shared" si="1"/>
        <v>1.2736119843119642E-2</v>
      </c>
      <c r="F24" s="70">
        <f t="shared" si="2"/>
        <v>1167.6311649838096</v>
      </c>
      <c r="G24" s="71">
        <f t="shared" si="3"/>
        <v>58.381558249190483</v>
      </c>
      <c r="H24" s="71">
        <f t="shared" si="0"/>
        <v>1226.0127232330001</v>
      </c>
    </row>
    <row r="25" spans="1:12" s="74" customFormat="1" x14ac:dyDescent="0.25">
      <c r="A25" s="65" t="s">
        <v>54</v>
      </c>
      <c r="B25" s="66" t="s">
        <v>55</v>
      </c>
      <c r="C25" s="67" t="s">
        <v>56</v>
      </c>
      <c r="D25" s="68">
        <v>11580</v>
      </c>
      <c r="E25" s="69">
        <f t="shared" si="1"/>
        <v>3.6361998960385958E-2</v>
      </c>
      <c r="F25" s="70">
        <f t="shared" si="2"/>
        <v>3333.6215213295154</v>
      </c>
      <c r="G25" s="71">
        <f t="shared" si="3"/>
        <v>166.68107606647578</v>
      </c>
      <c r="H25" s="71">
        <f t="shared" si="0"/>
        <v>3500.3025973959911</v>
      </c>
    </row>
    <row r="26" spans="1:12" s="74" customFormat="1" x14ac:dyDescent="0.25">
      <c r="A26" s="65" t="s">
        <v>57</v>
      </c>
      <c r="B26" s="66" t="s">
        <v>58</v>
      </c>
      <c r="C26" s="67" t="s">
        <v>59</v>
      </c>
      <c r="D26" s="68">
        <f>360+360+1510</f>
        <v>2230</v>
      </c>
      <c r="E26" s="69">
        <f t="shared" si="1"/>
        <v>7.002353858519922E-3</v>
      </c>
      <c r="F26" s="70">
        <f t="shared" si="2"/>
        <v>641.96683873616757</v>
      </c>
      <c r="G26" s="71">
        <f t="shared" si="3"/>
        <v>32.098341936808382</v>
      </c>
      <c r="H26" s="71">
        <f t="shared" si="0"/>
        <v>674.065180672976</v>
      </c>
    </row>
    <row r="27" spans="1:12" s="79" customFormat="1" ht="15.75" customHeight="1" x14ac:dyDescent="0.25">
      <c r="A27" s="65" t="s">
        <v>60</v>
      </c>
      <c r="B27" s="75" t="s">
        <v>61</v>
      </c>
      <c r="C27" s="76" t="s">
        <v>62</v>
      </c>
      <c r="D27" s="68">
        <f>5224+3930</f>
        <v>9154</v>
      </c>
      <c r="E27" s="69">
        <f t="shared" si="1"/>
        <v>2.8744191578875051E-2</v>
      </c>
      <c r="F27" s="70">
        <f t="shared" si="2"/>
        <v>2635.2306913860439</v>
      </c>
      <c r="G27" s="71">
        <f t="shared" si="3"/>
        <v>131.7615345693022</v>
      </c>
      <c r="H27" s="77">
        <f t="shared" si="0"/>
        <v>2766.9922259553459</v>
      </c>
      <c r="I27" s="78" t="s">
        <v>63</v>
      </c>
      <c r="L27" s="79" t="s">
        <v>64</v>
      </c>
    </row>
    <row r="28" spans="1:12" s="74" customFormat="1" ht="15.75" customHeight="1" x14ac:dyDescent="0.25">
      <c r="A28" s="65" t="s">
        <v>65</v>
      </c>
      <c r="B28" s="73" t="s">
        <v>66</v>
      </c>
      <c r="C28" s="67" t="s">
        <v>67</v>
      </c>
      <c r="D28" s="68">
        <v>2610</v>
      </c>
      <c r="E28" s="69">
        <f t="shared" si="1"/>
        <v>8.1955800765636747E-3</v>
      </c>
      <c r="F28" s="70">
        <f t="shared" si="2"/>
        <v>751.36029107685965</v>
      </c>
      <c r="G28" s="71">
        <f t="shared" si="3"/>
        <v>37.568014553842985</v>
      </c>
      <c r="H28" s="71">
        <f t="shared" si="0"/>
        <v>788.92830563070265</v>
      </c>
    </row>
    <row r="29" spans="1:12" s="74" customFormat="1" ht="15.75" customHeight="1" x14ac:dyDescent="0.25">
      <c r="A29" s="65" t="s">
        <v>68</v>
      </c>
      <c r="B29" s="73" t="s">
        <v>69</v>
      </c>
      <c r="C29" s="67" t="s">
        <v>70</v>
      </c>
      <c r="D29" s="68">
        <v>5515</v>
      </c>
      <c r="E29" s="69">
        <f t="shared" si="1"/>
        <v>1.7317480506608685E-2</v>
      </c>
      <c r="F29" s="70">
        <f t="shared" si="2"/>
        <v>1587.6444464708359</v>
      </c>
      <c r="G29" s="71">
        <f t="shared" si="3"/>
        <v>79.382222323541797</v>
      </c>
      <c r="H29" s="71">
        <f t="shared" si="0"/>
        <v>1667.0266687943777</v>
      </c>
    </row>
    <row r="30" spans="1:12" s="74" customFormat="1" ht="15.75" customHeight="1" x14ac:dyDescent="0.25">
      <c r="A30" s="65" t="s">
        <v>71</v>
      </c>
      <c r="B30" s="66" t="s">
        <v>72</v>
      </c>
      <c r="C30" s="67">
        <v>17202383000183</v>
      </c>
      <c r="D30" s="68">
        <v>15332</v>
      </c>
      <c r="E30" s="69">
        <f t="shared" si="1"/>
        <v>4.8143537829070597E-2</v>
      </c>
      <c r="F30" s="70">
        <f t="shared" si="2"/>
        <v>4413.7379244407712</v>
      </c>
      <c r="G30" s="71">
        <f t="shared" si="3"/>
        <v>220.68689622203857</v>
      </c>
      <c r="H30" s="71">
        <f t="shared" si="0"/>
        <v>4634.4248206628099</v>
      </c>
    </row>
    <row r="31" spans="1:12" s="74" customFormat="1" ht="15.75" customHeight="1" x14ac:dyDescent="0.25">
      <c r="A31" s="65" t="s">
        <v>73</v>
      </c>
      <c r="B31" s="66" t="s">
        <v>74</v>
      </c>
      <c r="C31" s="67">
        <v>18183488000103</v>
      </c>
      <c r="D31" s="68">
        <v>7238</v>
      </c>
      <c r="E31" s="69">
        <f t="shared" si="1"/>
        <v>2.272781938473865E-2</v>
      </c>
      <c r="F31" s="70">
        <f t="shared" si="2"/>
        <v>2083.657389584027</v>
      </c>
      <c r="G31" s="71">
        <f t="shared" si="3"/>
        <v>104.18286947920136</v>
      </c>
      <c r="H31" s="71">
        <f t="shared" si="0"/>
        <v>2187.8402590632281</v>
      </c>
    </row>
    <row r="32" spans="1:12" s="74" customFormat="1" x14ac:dyDescent="0.25">
      <c r="A32" s="65" t="s">
        <v>75</v>
      </c>
      <c r="B32" s="66" t="s">
        <v>76</v>
      </c>
      <c r="C32" s="67">
        <v>18244070000150</v>
      </c>
      <c r="D32" s="68">
        <v>5941</v>
      </c>
      <c r="E32" s="69">
        <f t="shared" si="1"/>
        <v>1.8655149898415629E-2</v>
      </c>
      <c r="F32" s="70">
        <f t="shared" si="2"/>
        <v>1710.2802640948751</v>
      </c>
      <c r="G32" s="71">
        <f t="shared" si="3"/>
        <v>85.514013204743762</v>
      </c>
      <c r="H32" s="71">
        <f t="shared" si="0"/>
        <v>1795.7942772996189</v>
      </c>
    </row>
    <row r="33" spans="1:12" s="74" customFormat="1" x14ac:dyDescent="0.25">
      <c r="A33" s="65" t="s">
        <v>77</v>
      </c>
      <c r="B33" s="66" t="s">
        <v>78</v>
      </c>
      <c r="C33" s="67">
        <v>18244039000110</v>
      </c>
      <c r="D33" s="68">
        <v>4460</v>
      </c>
      <c r="E33" s="69">
        <f t="shared" si="1"/>
        <v>1.4004707717039844E-2</v>
      </c>
      <c r="F33" s="70">
        <f t="shared" si="2"/>
        <v>1283.9336774723351</v>
      </c>
      <c r="G33" s="71">
        <f t="shared" si="3"/>
        <v>64.196683873616763</v>
      </c>
      <c r="H33" s="71">
        <f t="shared" si="0"/>
        <v>1348.130361345952</v>
      </c>
    </row>
    <row r="34" spans="1:12" s="74" customFormat="1" x14ac:dyDescent="0.25">
      <c r="A34" s="65" t="s">
        <v>79</v>
      </c>
      <c r="B34" s="66" t="s">
        <v>153</v>
      </c>
      <c r="C34" s="67" t="s">
        <v>154</v>
      </c>
      <c r="D34" s="68">
        <v>4415</v>
      </c>
      <c r="E34" s="69">
        <f t="shared" si="1"/>
        <v>1.3863404612271504E-2</v>
      </c>
      <c r="F34" s="70">
        <f t="shared" si="2"/>
        <v>1270.9791896951479</v>
      </c>
      <c r="G34" s="71">
        <f t="shared" si="3"/>
        <v>63.548959484757397</v>
      </c>
      <c r="H34" s="71">
        <f t="shared" si="0"/>
        <v>1334.5281491799053</v>
      </c>
    </row>
    <row r="35" spans="1:12" s="74" customFormat="1" x14ac:dyDescent="0.25">
      <c r="A35" s="65" t="s">
        <v>81</v>
      </c>
      <c r="B35" s="66" t="s">
        <v>82</v>
      </c>
      <c r="C35" s="67" t="s">
        <v>83</v>
      </c>
      <c r="D35" s="68">
        <v>8673</v>
      </c>
      <c r="E35" s="69">
        <f t="shared" si="1"/>
        <v>2.7233818392351245E-2</v>
      </c>
      <c r="F35" s="70">
        <f t="shared" si="2"/>
        <v>2496.7616109232199</v>
      </c>
      <c r="G35" s="71">
        <f t="shared" si="3"/>
        <v>124.838080546161</v>
      </c>
      <c r="H35" s="71">
        <f t="shared" si="0"/>
        <v>2621.599691469381</v>
      </c>
    </row>
    <row r="36" spans="1:12" s="74" customFormat="1" x14ac:dyDescent="0.25">
      <c r="A36" s="65" t="s">
        <v>84</v>
      </c>
      <c r="B36" s="66" t="s">
        <v>155</v>
      </c>
      <c r="C36" s="67" t="s">
        <v>86</v>
      </c>
      <c r="D36" s="68">
        <v>9239</v>
      </c>
      <c r="E36" s="69">
        <f t="shared" si="1"/>
        <v>2.901109744343747E-2</v>
      </c>
      <c r="F36" s="70">
        <f t="shared" si="2"/>
        <v>2659.7002794096197</v>
      </c>
      <c r="G36" s="71">
        <f t="shared" si="3"/>
        <v>132.98501397048099</v>
      </c>
      <c r="H36" s="71">
        <f t="shared" si="0"/>
        <v>2792.6852933801006</v>
      </c>
    </row>
    <row r="37" spans="1:12" s="74" customFormat="1" x14ac:dyDescent="0.25">
      <c r="A37" s="65" t="s">
        <v>87</v>
      </c>
      <c r="B37" s="66" t="s">
        <v>88</v>
      </c>
      <c r="C37" s="67" t="s">
        <v>89</v>
      </c>
      <c r="D37" s="68">
        <v>4892</v>
      </c>
      <c r="E37" s="69">
        <f t="shared" si="1"/>
        <v>1.53612175228159E-2</v>
      </c>
      <c r="F37" s="70">
        <f t="shared" si="2"/>
        <v>1408.2967601333326</v>
      </c>
      <c r="G37" s="71">
        <f t="shared" si="3"/>
        <v>70.414838006666628</v>
      </c>
      <c r="H37" s="71">
        <f t="shared" si="0"/>
        <v>1478.7115981399993</v>
      </c>
    </row>
    <row r="38" spans="1:12" s="74" customFormat="1" x14ac:dyDescent="0.25">
      <c r="A38" s="65" t="s">
        <v>90</v>
      </c>
      <c r="B38" s="66" t="s">
        <v>91</v>
      </c>
      <c r="C38" s="67">
        <v>41497649000147</v>
      </c>
      <c r="D38" s="68">
        <v>2526</v>
      </c>
      <c r="E38" s="69">
        <f t="shared" si="1"/>
        <v>7.9318142809961089E-3</v>
      </c>
      <c r="F38" s="70">
        <f t="shared" si="2"/>
        <v>727.17858055944362</v>
      </c>
      <c r="G38" s="71">
        <f t="shared" si="3"/>
        <v>36.358929027972181</v>
      </c>
      <c r="H38" s="71">
        <f t="shared" si="0"/>
        <v>763.5375095874158</v>
      </c>
    </row>
    <row r="39" spans="1:12" s="63" customFormat="1" x14ac:dyDescent="0.25">
      <c r="A39" s="56" t="s">
        <v>145</v>
      </c>
      <c r="B39" s="57" t="s">
        <v>146</v>
      </c>
      <c r="C39" s="58">
        <v>19209989000176</v>
      </c>
      <c r="D39" s="59">
        <v>15365.8</v>
      </c>
      <c r="E39" s="60">
        <f t="shared" si="1"/>
        <v>4.8249672161096595E-2</v>
      </c>
      <c r="F39" s="61">
        <f t="shared" si="2"/>
        <v>4423.4681841489701</v>
      </c>
      <c r="G39" s="62">
        <f t="shared" si="3"/>
        <v>221.17340920744851</v>
      </c>
      <c r="H39" s="62">
        <f>F39+G39</f>
        <v>4644.6415933564185</v>
      </c>
    </row>
    <row r="40" spans="1:12" s="74" customFormat="1" x14ac:dyDescent="0.25">
      <c r="A40" s="65" t="s">
        <v>92</v>
      </c>
      <c r="B40" s="66" t="s">
        <v>93</v>
      </c>
      <c r="C40" s="67">
        <v>40580071000125</v>
      </c>
      <c r="D40" s="68">
        <v>3600</v>
      </c>
      <c r="E40" s="69">
        <f t="shared" si="1"/>
        <v>1.1304248381467139E-2</v>
      </c>
      <c r="F40" s="70">
        <f t="shared" si="2"/>
        <v>1036.3590221749789</v>
      </c>
      <c r="G40" s="71">
        <f t="shared" si="3"/>
        <v>51.81795110874895</v>
      </c>
      <c r="H40" s="71">
        <f t="shared" si="0"/>
        <v>1088.1769732837279</v>
      </c>
      <c r="I40" s="78" t="s">
        <v>63</v>
      </c>
      <c r="L40" s="74" t="s">
        <v>94</v>
      </c>
    </row>
    <row r="41" spans="1:12" s="74" customFormat="1" x14ac:dyDescent="0.25">
      <c r="A41" s="65" t="s">
        <v>95</v>
      </c>
      <c r="B41" s="66" t="s">
        <v>96</v>
      </c>
      <c r="C41" s="67" t="s">
        <v>97</v>
      </c>
      <c r="D41" s="68">
        <v>3938</v>
      </c>
      <c r="E41" s="69">
        <f t="shared" si="1"/>
        <v>1.2365591701727109E-2</v>
      </c>
      <c r="F41" s="70">
        <f t="shared" si="2"/>
        <v>1133.6616192569631</v>
      </c>
      <c r="G41" s="71">
        <f t="shared" si="3"/>
        <v>56.683080962848159</v>
      </c>
      <c r="H41" s="71">
        <f t="shared" si="0"/>
        <v>1190.3447002198113</v>
      </c>
    </row>
    <row r="42" spans="1:12" s="74" customFormat="1" x14ac:dyDescent="0.25">
      <c r="A42" s="65" t="s">
        <v>98</v>
      </c>
      <c r="B42" s="66" t="s">
        <v>99</v>
      </c>
      <c r="C42" s="67">
        <v>18788190000119</v>
      </c>
      <c r="D42" s="68">
        <v>3707</v>
      </c>
      <c r="E42" s="69">
        <f t="shared" si="1"/>
        <v>1.1640235763916301E-2</v>
      </c>
      <c r="F42" s="70">
        <f t="shared" si="2"/>
        <v>1067.1619153340687</v>
      </c>
      <c r="G42" s="71">
        <f t="shared" si="3"/>
        <v>53.358095766703435</v>
      </c>
      <c r="H42" s="71">
        <f t="shared" si="0"/>
        <v>1120.5200111007721</v>
      </c>
    </row>
    <row r="43" spans="1:12" s="74" customFormat="1" x14ac:dyDescent="0.25">
      <c r="A43" s="65" t="s">
        <v>100</v>
      </c>
      <c r="B43" s="66" t="s">
        <v>101</v>
      </c>
      <c r="C43" s="67">
        <v>42109766000159</v>
      </c>
      <c r="D43" s="68">
        <v>5117</v>
      </c>
      <c r="E43" s="69">
        <f t="shared" si="1"/>
        <v>1.6067733046657595E-2</v>
      </c>
      <c r="F43" s="70">
        <f t="shared" si="2"/>
        <v>1473.0691990192686</v>
      </c>
      <c r="G43" s="71">
        <f t="shared" si="3"/>
        <v>73.653459950963438</v>
      </c>
      <c r="H43" s="71">
        <f t="shared" si="0"/>
        <v>1546.722658970232</v>
      </c>
    </row>
    <row r="44" spans="1:12" s="74" customFormat="1" x14ac:dyDescent="0.25">
      <c r="A44" s="65" t="s">
        <v>102</v>
      </c>
      <c r="B44" s="66" t="s">
        <v>99</v>
      </c>
      <c r="C44" s="67">
        <v>18788190000119</v>
      </c>
      <c r="D44" s="68">
        <v>14717</v>
      </c>
      <c r="E44" s="69">
        <f t="shared" si="1"/>
        <v>4.6212395397236629E-2</v>
      </c>
      <c r="F44" s="70">
        <f t="shared" si="2"/>
        <v>4236.6932581525462</v>
      </c>
      <c r="G44" s="71">
        <f t="shared" si="3"/>
        <v>211.83466290762732</v>
      </c>
      <c r="H44" s="71">
        <f t="shared" si="0"/>
        <v>4448.5279210601739</v>
      </c>
    </row>
    <row r="45" spans="1:12" s="74" customFormat="1" ht="13.5" customHeight="1" x14ac:dyDescent="0.25">
      <c r="A45" s="65" t="s">
        <v>103</v>
      </c>
      <c r="B45" s="66" t="s">
        <v>104</v>
      </c>
      <c r="C45" s="67">
        <v>32302613000170</v>
      </c>
      <c r="D45" s="68">
        <v>5439</v>
      </c>
      <c r="E45" s="69">
        <f t="shared" si="1"/>
        <v>1.7078835262999935E-2</v>
      </c>
      <c r="F45" s="70">
        <f t="shared" si="2"/>
        <v>1565.7657560026973</v>
      </c>
      <c r="G45" s="71">
        <f t="shared" si="3"/>
        <v>78.288287800134867</v>
      </c>
      <c r="H45" s="71">
        <f t="shared" si="0"/>
        <v>1644.0540438028322</v>
      </c>
    </row>
    <row r="46" spans="1:12" s="74" customFormat="1" x14ac:dyDescent="0.25">
      <c r="A46" s="65" t="s">
        <v>105</v>
      </c>
      <c r="B46" s="66" t="s">
        <v>106</v>
      </c>
      <c r="C46" s="67">
        <v>28616552000148</v>
      </c>
      <c r="D46" s="68">
        <v>4123.71</v>
      </c>
      <c r="E46" s="69">
        <f t="shared" si="1"/>
        <v>1.2948733914761069E-2</v>
      </c>
      <c r="F46" s="70">
        <f t="shared" si="2"/>
        <v>1187.1233509258839</v>
      </c>
      <c r="G46" s="71">
        <f t="shared" si="3"/>
        <v>59.356167546294195</v>
      </c>
      <c r="H46" s="71">
        <f t="shared" si="0"/>
        <v>1246.4795184721781</v>
      </c>
    </row>
    <row r="47" spans="1:12" s="74" customFormat="1" x14ac:dyDescent="0.25">
      <c r="A47" s="65" t="s">
        <v>107</v>
      </c>
      <c r="B47" s="66" t="s">
        <v>108</v>
      </c>
      <c r="C47" s="67">
        <v>42579914000107</v>
      </c>
      <c r="D47" s="68">
        <v>4986.3599999999997</v>
      </c>
      <c r="E47" s="69">
        <f t="shared" si="1"/>
        <v>1.5657514433170133E-2</v>
      </c>
      <c r="F47" s="70">
        <f t="shared" si="2"/>
        <v>1435.4608816145633</v>
      </c>
      <c r="G47" s="71">
        <f t="shared" si="3"/>
        <v>71.77304408072817</v>
      </c>
      <c r="H47" s="71">
        <f t="shared" si="0"/>
        <v>1507.2339256952914</v>
      </c>
    </row>
    <row r="48" spans="1:12" s="74" customFormat="1" x14ac:dyDescent="0.25">
      <c r="A48" s="65" t="s">
        <v>109</v>
      </c>
      <c r="B48" s="66" t="s">
        <v>110</v>
      </c>
      <c r="C48" s="67" t="s">
        <v>111</v>
      </c>
      <c r="D48" s="68">
        <v>7462</v>
      </c>
      <c r="E48" s="69">
        <f t="shared" si="1"/>
        <v>2.3431194839585497E-2</v>
      </c>
      <c r="F48" s="70">
        <f t="shared" si="2"/>
        <v>2148.1419509638035</v>
      </c>
      <c r="G48" s="71">
        <f t="shared" si="3"/>
        <v>107.40709754819018</v>
      </c>
      <c r="H48" s="71">
        <f t="shared" si="0"/>
        <v>2255.5490485119935</v>
      </c>
    </row>
    <row r="49" spans="1:8" s="74" customFormat="1" x14ac:dyDescent="0.25">
      <c r="A49" s="65" t="s">
        <v>112</v>
      </c>
      <c r="B49" s="66" t="s">
        <v>113</v>
      </c>
      <c r="C49" s="67" t="s">
        <v>114</v>
      </c>
      <c r="D49" s="68">
        <v>5525</v>
      </c>
      <c r="E49" s="69">
        <f t="shared" si="1"/>
        <v>1.7348881196557205E-2</v>
      </c>
      <c r="F49" s="70">
        <f t="shared" si="2"/>
        <v>1590.5232215324329</v>
      </c>
      <c r="G49" s="71">
        <f t="shared" si="3"/>
        <v>79.526161076621648</v>
      </c>
      <c r="H49" s="71">
        <f t="shared" si="0"/>
        <v>1670.0493826090546</v>
      </c>
    </row>
    <row r="50" spans="1:8" s="74" customFormat="1" x14ac:dyDescent="0.25">
      <c r="A50" s="65" t="s">
        <v>115</v>
      </c>
      <c r="B50" s="66" t="s">
        <v>116</v>
      </c>
      <c r="C50" s="67">
        <v>26480299000112</v>
      </c>
      <c r="D50" s="68"/>
      <c r="E50" s="69">
        <f t="shared" si="1"/>
        <v>0</v>
      </c>
      <c r="F50" s="70">
        <f t="shared" si="2"/>
        <v>0</v>
      </c>
      <c r="G50" s="71">
        <f t="shared" si="3"/>
        <v>0</v>
      </c>
      <c r="H50" s="71">
        <f t="shared" si="0"/>
        <v>0</v>
      </c>
    </row>
    <row r="51" spans="1:8" s="74" customFormat="1" x14ac:dyDescent="0.25">
      <c r="A51" s="65" t="s">
        <v>117</v>
      </c>
      <c r="B51" s="66" t="s">
        <v>118</v>
      </c>
      <c r="C51" s="67" t="s">
        <v>119</v>
      </c>
      <c r="D51" s="68">
        <v>4943</v>
      </c>
      <c r="E51" s="69">
        <f t="shared" si="1"/>
        <v>1.552136104155335E-2</v>
      </c>
      <c r="F51" s="70">
        <f t="shared" si="2"/>
        <v>1422.9785129474781</v>
      </c>
      <c r="G51" s="71">
        <f t="shared" si="3"/>
        <v>71.1489256473739</v>
      </c>
      <c r="H51" s="71">
        <f t="shared" si="0"/>
        <v>1494.127438594852</v>
      </c>
    </row>
    <row r="52" spans="1:8" s="74" customFormat="1" x14ac:dyDescent="0.25">
      <c r="A52" s="65" t="s">
        <v>120</v>
      </c>
      <c r="B52" s="66" t="s">
        <v>121</v>
      </c>
      <c r="C52" s="67">
        <v>12997366000166</v>
      </c>
      <c r="D52" s="68">
        <v>5160</v>
      </c>
      <c r="E52" s="69">
        <f t="shared" si="1"/>
        <v>1.620275601343623E-2</v>
      </c>
      <c r="F52" s="70">
        <f t="shared" si="2"/>
        <v>1485.4479317841365</v>
      </c>
      <c r="G52" s="71">
        <f t="shared" si="3"/>
        <v>74.272396589206821</v>
      </c>
      <c r="H52" s="71">
        <f t="shared" si="0"/>
        <v>1559.7203283733434</v>
      </c>
    </row>
    <row r="53" spans="1:8" s="74" customFormat="1" ht="16.5" customHeight="1" x14ac:dyDescent="0.25">
      <c r="A53" s="65" t="s">
        <v>122</v>
      </c>
      <c r="B53" s="66" t="s">
        <v>123</v>
      </c>
      <c r="C53" s="67" t="s">
        <v>124</v>
      </c>
      <c r="D53" s="68">
        <v>6586</v>
      </c>
      <c r="E53" s="69">
        <f t="shared" si="1"/>
        <v>2.0680494400095159E-2</v>
      </c>
      <c r="F53" s="70">
        <f t="shared" si="2"/>
        <v>1895.9612555678921</v>
      </c>
      <c r="G53" s="71">
        <f t="shared" si="3"/>
        <v>94.798062778394609</v>
      </c>
      <c r="H53" s="71">
        <f t="shared" si="0"/>
        <v>1990.7593183462866</v>
      </c>
    </row>
    <row r="54" spans="1:8" customFormat="1" x14ac:dyDescent="0.25">
      <c r="A54" s="20" t="s">
        <v>125</v>
      </c>
      <c r="B54" s="21" t="s">
        <v>126</v>
      </c>
      <c r="C54" s="22">
        <v>11884518000151</v>
      </c>
      <c r="D54" s="23">
        <v>5644</v>
      </c>
      <c r="E54" s="69">
        <f t="shared" si="1"/>
        <v>1.772254940694459E-2</v>
      </c>
      <c r="F54" s="25">
        <f t="shared" si="2"/>
        <v>1624.7806447654391</v>
      </c>
      <c r="G54" s="26">
        <f t="shared" si="3"/>
        <v>81.23903223827196</v>
      </c>
      <c r="H54" s="26">
        <f t="shared" si="0"/>
        <v>1706.019677003711</v>
      </c>
    </row>
    <row r="55" spans="1:8" s="63" customFormat="1" x14ac:dyDescent="0.25">
      <c r="A55" s="56" t="s">
        <v>147</v>
      </c>
      <c r="B55" s="57" t="s">
        <v>148</v>
      </c>
      <c r="C55" s="58">
        <v>41142377000162</v>
      </c>
      <c r="D55" s="59">
        <v>1134.82</v>
      </c>
      <c r="E55" s="60">
        <f t="shared" si="1"/>
        <v>3.5634130967379268E-3</v>
      </c>
      <c r="F55" s="61">
        <f t="shared" si="2"/>
        <v>326.68915154016929</v>
      </c>
      <c r="G55" s="62">
        <f t="shared" si="3"/>
        <v>16.334457577008465</v>
      </c>
      <c r="H55" s="62">
        <f t="shared" si="0"/>
        <v>343.02360911717778</v>
      </c>
    </row>
    <row r="56" spans="1:8" s="74" customFormat="1" x14ac:dyDescent="0.25">
      <c r="A56" s="65" t="s">
        <v>127</v>
      </c>
      <c r="B56" s="66" t="s">
        <v>128</v>
      </c>
      <c r="C56" s="67">
        <v>36188051000136</v>
      </c>
      <c r="D56" s="68">
        <v>6936</v>
      </c>
      <c r="E56" s="69">
        <f t="shared" si="1"/>
        <v>2.1779518548293353E-2</v>
      </c>
      <c r="F56" s="70">
        <f t="shared" si="2"/>
        <v>1996.7183827237927</v>
      </c>
      <c r="G56" s="71">
        <f t="shared" si="3"/>
        <v>99.835919136189645</v>
      </c>
      <c r="H56" s="71">
        <f t="shared" si="0"/>
        <v>2096.5543018599824</v>
      </c>
    </row>
    <row r="57" spans="1:8" s="74" customFormat="1" x14ac:dyDescent="0.25">
      <c r="A57" s="65" t="s">
        <v>129</v>
      </c>
      <c r="B57" s="66" t="s">
        <v>130</v>
      </c>
      <c r="C57" s="67" t="s">
        <v>131</v>
      </c>
      <c r="D57" s="68">
        <f>7425*40%</f>
        <v>2970</v>
      </c>
      <c r="E57" s="69">
        <f t="shared" si="1"/>
        <v>9.3260049147103896E-3</v>
      </c>
      <c r="F57" s="70">
        <f t="shared" si="2"/>
        <v>854.99619329435768</v>
      </c>
      <c r="G57" s="71">
        <f t="shared" si="3"/>
        <v>42.749809664717887</v>
      </c>
      <c r="H57" s="71">
        <f t="shared" si="0"/>
        <v>897.74600295907555</v>
      </c>
    </row>
    <row r="58" spans="1:8" s="74" customFormat="1" x14ac:dyDescent="0.25">
      <c r="A58" s="65" t="s">
        <v>132</v>
      </c>
      <c r="B58" s="66" t="s">
        <v>133</v>
      </c>
      <c r="C58" s="67">
        <v>18741082000190</v>
      </c>
      <c r="D58" s="68">
        <v>12183</v>
      </c>
      <c r="E58" s="69">
        <f t="shared" si="1"/>
        <v>3.825546056428171E-2</v>
      </c>
      <c r="F58" s="70">
        <f t="shared" si="2"/>
        <v>3507.2116575438249</v>
      </c>
      <c r="G58" s="71">
        <f t="shared" si="3"/>
        <v>175.36058287719126</v>
      </c>
      <c r="H58" s="71">
        <f t="shared" si="0"/>
        <v>3682.572240421016</v>
      </c>
    </row>
    <row r="59" spans="1:8" s="74" customFormat="1" x14ac:dyDescent="0.25">
      <c r="A59" s="65" t="s">
        <v>134</v>
      </c>
      <c r="B59" s="66" t="s">
        <v>135</v>
      </c>
      <c r="C59" s="67" t="s">
        <v>136</v>
      </c>
      <c r="D59" s="68">
        <v>4814</v>
      </c>
      <c r="E59" s="69">
        <f t="shared" si="1"/>
        <v>1.5116292141217446E-2</v>
      </c>
      <c r="F59" s="70">
        <f t="shared" si="2"/>
        <v>1385.8423146528746</v>
      </c>
      <c r="G59" s="71">
        <f t="shared" si="3"/>
        <v>69.292115732643737</v>
      </c>
      <c r="H59" s="71">
        <f t="shared" si="0"/>
        <v>1455.1344303855183</v>
      </c>
    </row>
    <row r="60" spans="1:8" s="74" customFormat="1" x14ac:dyDescent="0.25">
      <c r="A60" s="65" t="s">
        <v>137</v>
      </c>
      <c r="B60" s="66" t="s">
        <v>138</v>
      </c>
      <c r="C60" s="67" t="s">
        <v>139</v>
      </c>
      <c r="D60" s="68">
        <v>3476.86</v>
      </c>
      <c r="E60" s="69">
        <f t="shared" si="1"/>
        <v>1.0917580285441065E-2</v>
      </c>
      <c r="F60" s="70">
        <f t="shared" si="2"/>
        <v>1000.9097860664715</v>
      </c>
      <c r="G60" s="71">
        <f t="shared" si="3"/>
        <v>50.045489303323578</v>
      </c>
      <c r="H60" s="71">
        <f t="shared" si="0"/>
        <v>1050.9552753697951</v>
      </c>
    </row>
    <row r="61" spans="1:8" s="74" customFormat="1" x14ac:dyDescent="0.25">
      <c r="A61" s="65" t="s">
        <v>140</v>
      </c>
      <c r="B61" s="73" t="s">
        <v>141</v>
      </c>
      <c r="C61" s="67">
        <v>11884518000151</v>
      </c>
      <c r="D61" s="68">
        <f>81377.44-14717-3314-9239+11302+4126.33-9403</f>
        <v>60132.770000000004</v>
      </c>
      <c r="E61" s="69">
        <f t="shared" si="1"/>
        <v>0.18882104665156549</v>
      </c>
      <c r="F61" s="70">
        <f t="shared" si="2"/>
        <v>17310.87186607581</v>
      </c>
      <c r="G61" s="71">
        <f t="shared" si="3"/>
        <v>865.54359330379054</v>
      </c>
      <c r="H61" s="71">
        <f t="shared" si="0"/>
        <v>18176.415459379601</v>
      </c>
    </row>
    <row r="62" spans="1:8" customFormat="1" x14ac:dyDescent="0.25">
      <c r="A62" s="34"/>
      <c r="B62" s="35"/>
      <c r="C62" s="36" t="s">
        <v>142</v>
      </c>
      <c r="D62" s="37">
        <f>SUM(D18:D61)</f>
        <v>318464.33999999997</v>
      </c>
      <c r="E62" s="38">
        <f>SUM(E18:E61)</f>
        <v>1</v>
      </c>
      <c r="F62" s="39">
        <f>SUM(F18:F61)</f>
        <v>91678.720000000001</v>
      </c>
      <c r="G62" s="39">
        <f>SUM(G18:G61)</f>
        <v>4583.9359999999997</v>
      </c>
      <c r="H62" s="40">
        <f>SUM(H18:H61)</f>
        <v>96262.656000000017</v>
      </c>
    </row>
    <row r="63" spans="1:8" customFormat="1" x14ac:dyDescent="0.25">
      <c r="F63" s="41"/>
    </row>
    <row r="64" spans="1:8" customFormat="1" x14ac:dyDescent="0.25">
      <c r="F64" s="41"/>
    </row>
    <row r="65" spans="4:8" customFormat="1" x14ac:dyDescent="0.25">
      <c r="D65" s="44"/>
      <c r="E65" s="41"/>
      <c r="H65" s="42"/>
    </row>
    <row r="66" spans="4:8" customFormat="1" x14ac:dyDescent="0.25">
      <c r="E66" s="41"/>
    </row>
    <row r="67" spans="4:8" customFormat="1" x14ac:dyDescent="0.25"/>
    <row r="68" spans="4:8" customFormat="1" x14ac:dyDescent="0.25"/>
    <row r="69" spans="4:8" customFormat="1" x14ac:dyDescent="0.25"/>
    <row r="70" spans="4:8" customFormat="1" x14ac:dyDescent="0.25"/>
    <row r="71" spans="4:8" customFormat="1" x14ac:dyDescent="0.25"/>
    <row r="72" spans="4:8" customFormat="1" x14ac:dyDescent="0.25"/>
    <row r="73" spans="4:8" customFormat="1" x14ac:dyDescent="0.25"/>
    <row r="74" spans="4:8" customFormat="1" x14ac:dyDescent="0.25"/>
    <row r="75" spans="4:8" customFormat="1" x14ac:dyDescent="0.25"/>
    <row r="76" spans="4:8" customFormat="1" x14ac:dyDescent="0.25"/>
    <row r="77" spans="4:8" customFormat="1" x14ac:dyDescent="0.25"/>
    <row r="78" spans="4:8" customFormat="1" x14ac:dyDescent="0.25"/>
    <row r="79" spans="4:8" customFormat="1" x14ac:dyDescent="0.25"/>
    <row r="80" spans="4:8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spans="1:8" customFormat="1" x14ac:dyDescent="0.25"/>
    <row r="146" spans="1:8" customFormat="1" x14ac:dyDescent="0.25">
      <c r="A146" s="45"/>
      <c r="B146" s="45"/>
      <c r="C146" s="45"/>
      <c r="D146" s="45"/>
      <c r="E146" s="45"/>
    </row>
    <row r="147" spans="1:8" x14ac:dyDescent="0.25">
      <c r="F147"/>
      <c r="G147"/>
      <c r="H147"/>
    </row>
    <row r="148" spans="1:8" x14ac:dyDescent="0.25">
      <c r="F148"/>
      <c r="G148"/>
      <c r="H148"/>
    </row>
    <row r="149" spans="1:8" x14ac:dyDescent="0.25">
      <c r="F149"/>
      <c r="G149"/>
      <c r="H149"/>
    </row>
    <row r="150" spans="1:8" x14ac:dyDescent="0.25">
      <c r="F150"/>
      <c r="G150"/>
      <c r="H150"/>
    </row>
    <row r="151" spans="1:8" x14ac:dyDescent="0.25">
      <c r="F151"/>
      <c r="G151"/>
      <c r="H151"/>
    </row>
    <row r="152" spans="1:8" x14ac:dyDescent="0.25">
      <c r="F152"/>
      <c r="G152"/>
      <c r="H152"/>
    </row>
    <row r="153" spans="1:8" x14ac:dyDescent="0.25">
      <c r="F153"/>
      <c r="G153"/>
      <c r="H153"/>
    </row>
    <row r="154" spans="1:8" x14ac:dyDescent="0.25">
      <c r="F154"/>
      <c r="G154"/>
      <c r="H154"/>
    </row>
    <row r="155" spans="1:8" x14ac:dyDescent="0.25">
      <c r="F155"/>
      <c r="G155"/>
      <c r="H155"/>
    </row>
    <row r="156" spans="1:8" x14ac:dyDescent="0.25">
      <c r="F156"/>
      <c r="G156"/>
      <c r="H156"/>
    </row>
    <row r="157" spans="1:8" x14ac:dyDescent="0.25">
      <c r="F157"/>
      <c r="G157"/>
      <c r="H157"/>
    </row>
    <row r="158" spans="1:8" x14ac:dyDescent="0.25">
      <c r="F158"/>
      <c r="G158"/>
      <c r="H158"/>
    </row>
    <row r="159" spans="1:8" x14ac:dyDescent="0.25">
      <c r="F159"/>
      <c r="G159"/>
      <c r="H159"/>
    </row>
    <row r="160" spans="1:8" x14ac:dyDescent="0.25">
      <c r="F160"/>
      <c r="G160"/>
      <c r="H160"/>
    </row>
    <row r="161" spans="6:8" x14ac:dyDescent="0.25">
      <c r="F161"/>
      <c r="G161"/>
      <c r="H161"/>
    </row>
    <row r="162" spans="6:8" x14ac:dyDescent="0.25">
      <c r="F162"/>
      <c r="G162"/>
      <c r="H162"/>
    </row>
    <row r="163" spans="6:8" x14ac:dyDescent="0.25">
      <c r="F163"/>
      <c r="G163"/>
      <c r="H163"/>
    </row>
    <row r="164" spans="6:8" x14ac:dyDescent="0.25">
      <c r="F164"/>
      <c r="G164"/>
      <c r="H164"/>
    </row>
    <row r="165" spans="6:8" x14ac:dyDescent="0.25">
      <c r="F165"/>
      <c r="G165"/>
      <c r="H165"/>
    </row>
    <row r="166" spans="6:8" x14ac:dyDescent="0.25">
      <c r="F166"/>
      <c r="G166"/>
      <c r="H166"/>
    </row>
    <row r="167" spans="6:8" x14ac:dyDescent="0.25">
      <c r="F167"/>
      <c r="G167"/>
      <c r="H167"/>
    </row>
    <row r="168" spans="6:8" x14ac:dyDescent="0.25">
      <c r="F168"/>
      <c r="G168"/>
      <c r="H168"/>
    </row>
    <row r="169" spans="6:8" x14ac:dyDescent="0.25">
      <c r="F169"/>
      <c r="G169"/>
      <c r="H169"/>
    </row>
    <row r="170" spans="6:8" x14ac:dyDescent="0.25">
      <c r="F170"/>
      <c r="G170"/>
      <c r="H170"/>
    </row>
    <row r="171" spans="6:8" x14ac:dyDescent="0.25">
      <c r="F171"/>
      <c r="G171"/>
      <c r="H171"/>
    </row>
    <row r="172" spans="6:8" x14ac:dyDescent="0.25">
      <c r="F172"/>
      <c r="G172"/>
      <c r="H172"/>
    </row>
    <row r="173" spans="6:8" x14ac:dyDescent="0.25">
      <c r="F173"/>
      <c r="G173"/>
      <c r="H173"/>
    </row>
    <row r="174" spans="6:8" x14ac:dyDescent="0.25">
      <c r="F174"/>
      <c r="G174"/>
      <c r="H174"/>
    </row>
    <row r="175" spans="6:8" x14ac:dyDescent="0.25">
      <c r="F175"/>
      <c r="G175"/>
      <c r="H175"/>
    </row>
    <row r="176" spans="6:8" x14ac:dyDescent="0.25">
      <c r="F176"/>
      <c r="G176"/>
      <c r="H176"/>
    </row>
    <row r="177" spans="6:8" x14ac:dyDescent="0.25">
      <c r="F177"/>
      <c r="G177"/>
      <c r="H177"/>
    </row>
    <row r="178" spans="6:8" x14ac:dyDescent="0.25">
      <c r="F178"/>
      <c r="G178"/>
      <c r="H178"/>
    </row>
    <row r="179" spans="6:8" x14ac:dyDescent="0.25">
      <c r="F179"/>
      <c r="G179"/>
      <c r="H179"/>
    </row>
    <row r="180" spans="6:8" x14ac:dyDescent="0.25">
      <c r="F180"/>
      <c r="G180"/>
      <c r="H180"/>
    </row>
    <row r="181" spans="6:8" x14ac:dyDescent="0.25">
      <c r="F181"/>
      <c r="G181"/>
      <c r="H181"/>
    </row>
    <row r="182" spans="6:8" x14ac:dyDescent="0.25">
      <c r="F182"/>
      <c r="G182"/>
      <c r="H182"/>
    </row>
    <row r="183" spans="6:8" x14ac:dyDescent="0.25">
      <c r="F183"/>
      <c r="G183"/>
      <c r="H183"/>
    </row>
    <row r="184" spans="6:8" x14ac:dyDescent="0.25">
      <c r="F184"/>
      <c r="G184"/>
      <c r="H184"/>
    </row>
    <row r="185" spans="6:8" x14ac:dyDescent="0.25">
      <c r="F185"/>
      <c r="G185"/>
      <c r="H185"/>
    </row>
    <row r="186" spans="6:8" x14ac:dyDescent="0.25">
      <c r="F186"/>
      <c r="G186"/>
      <c r="H186"/>
    </row>
    <row r="187" spans="6:8" x14ac:dyDescent="0.25">
      <c r="F187"/>
      <c r="G187"/>
      <c r="H187"/>
    </row>
    <row r="188" spans="6:8" x14ac:dyDescent="0.25">
      <c r="F188"/>
      <c r="G188"/>
      <c r="H188"/>
    </row>
    <row r="189" spans="6:8" x14ac:dyDescent="0.25">
      <c r="F189"/>
      <c r="G189"/>
      <c r="H189"/>
    </row>
    <row r="190" spans="6:8" x14ac:dyDescent="0.25">
      <c r="F190"/>
      <c r="G190"/>
      <c r="H190"/>
    </row>
    <row r="191" spans="6:8" x14ac:dyDescent="0.25">
      <c r="F191"/>
      <c r="G191"/>
      <c r="H191"/>
    </row>
    <row r="192" spans="6:8" x14ac:dyDescent="0.25">
      <c r="F192"/>
      <c r="G192"/>
      <c r="H192"/>
    </row>
    <row r="193" spans="6:8" x14ac:dyDescent="0.25">
      <c r="F193"/>
      <c r="G193"/>
      <c r="H193"/>
    </row>
    <row r="194" spans="6:8" x14ac:dyDescent="0.25">
      <c r="F194"/>
      <c r="G194"/>
      <c r="H194"/>
    </row>
    <row r="195" spans="6:8" x14ac:dyDescent="0.25">
      <c r="F195"/>
      <c r="G195"/>
      <c r="H195"/>
    </row>
    <row r="196" spans="6:8" x14ac:dyDescent="0.25">
      <c r="F196"/>
      <c r="G196"/>
      <c r="H196"/>
    </row>
    <row r="197" spans="6:8" x14ac:dyDescent="0.25">
      <c r="F197"/>
      <c r="G197"/>
      <c r="H197"/>
    </row>
    <row r="198" spans="6:8" x14ac:dyDescent="0.25">
      <c r="F198"/>
      <c r="G198"/>
      <c r="H198"/>
    </row>
    <row r="199" spans="6:8" x14ac:dyDescent="0.25">
      <c r="F199"/>
      <c r="G199"/>
      <c r="H199"/>
    </row>
    <row r="200" spans="6:8" x14ac:dyDescent="0.25">
      <c r="F200"/>
      <c r="G200"/>
      <c r="H200"/>
    </row>
    <row r="201" spans="6:8" x14ac:dyDescent="0.25">
      <c r="F201"/>
      <c r="G201"/>
      <c r="H201"/>
    </row>
    <row r="202" spans="6:8" x14ac:dyDescent="0.25">
      <c r="F202"/>
      <c r="G202"/>
      <c r="H202"/>
    </row>
    <row r="203" spans="6:8" x14ac:dyDescent="0.25">
      <c r="F203"/>
      <c r="G203"/>
      <c r="H203"/>
    </row>
    <row r="204" spans="6:8" x14ac:dyDescent="0.25">
      <c r="F204"/>
      <c r="G204"/>
      <c r="H204"/>
    </row>
    <row r="205" spans="6:8" x14ac:dyDescent="0.25">
      <c r="F205"/>
      <c r="G205"/>
      <c r="H205"/>
    </row>
    <row r="206" spans="6:8" x14ac:dyDescent="0.25">
      <c r="F206"/>
      <c r="G206"/>
      <c r="H206"/>
    </row>
    <row r="207" spans="6:8" x14ac:dyDescent="0.25">
      <c r="F207"/>
      <c r="G207"/>
      <c r="H207"/>
    </row>
    <row r="208" spans="6:8" x14ac:dyDescent="0.25">
      <c r="F208"/>
      <c r="G208"/>
      <c r="H208"/>
    </row>
    <row r="209" spans="6:8" x14ac:dyDescent="0.25">
      <c r="F209"/>
      <c r="G209"/>
      <c r="H209"/>
    </row>
    <row r="210" spans="6:8" x14ac:dyDescent="0.25">
      <c r="F210"/>
      <c r="G210"/>
      <c r="H210"/>
    </row>
    <row r="211" spans="6:8" x14ac:dyDescent="0.25">
      <c r="F211"/>
      <c r="G211"/>
      <c r="H211"/>
    </row>
    <row r="212" spans="6:8" x14ac:dyDescent="0.25">
      <c r="F212"/>
      <c r="G212"/>
      <c r="H212"/>
    </row>
    <row r="213" spans="6:8" x14ac:dyDescent="0.25">
      <c r="F213"/>
      <c r="G213"/>
      <c r="H213"/>
    </row>
    <row r="214" spans="6:8" x14ac:dyDescent="0.25">
      <c r="F214"/>
      <c r="G214"/>
      <c r="H214"/>
    </row>
    <row r="215" spans="6:8" x14ac:dyDescent="0.25">
      <c r="F215"/>
      <c r="G215"/>
      <c r="H215"/>
    </row>
    <row r="216" spans="6:8" x14ac:dyDescent="0.25">
      <c r="F216"/>
      <c r="G216"/>
      <c r="H216"/>
    </row>
    <row r="217" spans="6:8" x14ac:dyDescent="0.25">
      <c r="F217"/>
      <c r="G217"/>
      <c r="H217"/>
    </row>
    <row r="218" spans="6:8" x14ac:dyDescent="0.25">
      <c r="F218"/>
      <c r="G218"/>
      <c r="H218"/>
    </row>
    <row r="219" spans="6:8" x14ac:dyDescent="0.25">
      <c r="F219"/>
      <c r="G219"/>
      <c r="H219"/>
    </row>
    <row r="220" spans="6:8" x14ac:dyDescent="0.25">
      <c r="F220"/>
      <c r="G220"/>
      <c r="H220"/>
    </row>
    <row r="221" spans="6:8" x14ac:dyDescent="0.25">
      <c r="F221"/>
      <c r="G221"/>
      <c r="H221"/>
    </row>
    <row r="222" spans="6:8" x14ac:dyDescent="0.25">
      <c r="F222"/>
      <c r="G222"/>
      <c r="H222"/>
    </row>
    <row r="223" spans="6:8" x14ac:dyDescent="0.25">
      <c r="F223"/>
      <c r="G223"/>
      <c r="H223"/>
    </row>
    <row r="224" spans="6:8" x14ac:dyDescent="0.25">
      <c r="F224"/>
      <c r="G224"/>
      <c r="H224"/>
    </row>
    <row r="225" spans="6:8" x14ac:dyDescent="0.25">
      <c r="F225"/>
      <c r="G225"/>
      <c r="H225"/>
    </row>
    <row r="226" spans="6:8" x14ac:dyDescent="0.25">
      <c r="F226"/>
      <c r="G226"/>
      <c r="H226"/>
    </row>
    <row r="227" spans="6:8" x14ac:dyDescent="0.25">
      <c r="F227"/>
      <c r="G227"/>
      <c r="H227"/>
    </row>
    <row r="228" spans="6:8" x14ac:dyDescent="0.25">
      <c r="G228"/>
      <c r="H228"/>
    </row>
  </sheetData>
  <mergeCells count="1">
    <mergeCell ref="B1:G1"/>
  </mergeCells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4DA70-5A1C-451B-9108-973CA2FB5ACF}">
  <dimension ref="A1:L226"/>
  <sheetViews>
    <sheetView topLeftCell="A34" zoomScaleNormal="100" workbookViewId="0">
      <selection activeCell="F58" sqref="F58"/>
    </sheetView>
  </sheetViews>
  <sheetFormatPr defaultColWidth="9.140625" defaultRowHeight="15" x14ac:dyDescent="0.25"/>
  <cols>
    <col min="1" max="1" width="29.5703125" style="45" customWidth="1"/>
    <col min="2" max="2" width="45.28515625" style="45" customWidth="1"/>
    <col min="3" max="3" width="29.7109375" style="45" customWidth="1"/>
    <col min="4" max="4" width="21.42578125" style="45" customWidth="1"/>
    <col min="5" max="5" width="17.42578125" style="45" customWidth="1"/>
    <col min="6" max="6" width="16.42578125" style="45" customWidth="1"/>
    <col min="7" max="7" width="17.140625" style="45" customWidth="1"/>
    <col min="8" max="8" width="16.85546875" style="45" bestFit="1" customWidth="1"/>
    <col min="9" max="16384" width="9.140625" style="45"/>
  </cols>
  <sheetData>
    <row r="1" spans="1:8" customFormat="1" ht="21.75" customHeight="1" x14ac:dyDescent="0.25">
      <c r="A1" s="46"/>
      <c r="B1" s="112" t="s">
        <v>0</v>
      </c>
      <c r="C1" s="113"/>
      <c r="D1" s="113"/>
      <c r="E1" s="113"/>
      <c r="F1" s="113"/>
      <c r="G1" s="114"/>
      <c r="H1" s="47"/>
    </row>
    <row r="2" spans="1:8" customFormat="1" ht="30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3"/>
      <c r="F2" s="4" t="s">
        <v>5</v>
      </c>
      <c r="G2" s="5"/>
      <c r="H2" s="6"/>
    </row>
    <row r="3" spans="1:8" customFormat="1" ht="30.6" customHeight="1" x14ac:dyDescent="0.25">
      <c r="A3" s="7">
        <v>1</v>
      </c>
      <c r="B3" s="8" t="s">
        <v>6</v>
      </c>
      <c r="C3" s="8"/>
      <c r="D3" s="9">
        <v>45809</v>
      </c>
      <c r="E3" s="9"/>
      <c r="F3" s="10">
        <f>532.69+550+5000</f>
        <v>6082.6900000000005</v>
      </c>
      <c r="G3" s="5"/>
      <c r="H3" s="6"/>
    </row>
    <row r="4" spans="1:8" customFormat="1" ht="30.6" customHeight="1" x14ac:dyDescent="0.25">
      <c r="A4" s="7">
        <v>2</v>
      </c>
      <c r="B4" s="8" t="s">
        <v>8</v>
      </c>
      <c r="C4" s="8" t="s">
        <v>9</v>
      </c>
      <c r="D4" s="9">
        <v>45809</v>
      </c>
      <c r="E4" s="9"/>
      <c r="F4" s="10">
        <v>39590</v>
      </c>
      <c r="G4" s="5"/>
      <c r="H4" s="11"/>
    </row>
    <row r="5" spans="1:8" customFormat="1" ht="30.6" customHeight="1" x14ac:dyDescent="0.25">
      <c r="A5" s="7">
        <v>3</v>
      </c>
      <c r="B5" s="8" t="s">
        <v>10</v>
      </c>
      <c r="C5" s="12" t="s">
        <v>11</v>
      </c>
      <c r="D5" s="9">
        <v>45809</v>
      </c>
      <c r="E5" s="9"/>
      <c r="F5" s="10">
        <v>39510.6</v>
      </c>
      <c r="G5" s="5"/>
      <c r="H5" s="11"/>
    </row>
    <row r="6" spans="1:8" customFormat="1" ht="30.6" customHeight="1" x14ac:dyDescent="0.25">
      <c r="A6" s="7">
        <v>4</v>
      </c>
      <c r="B6" s="8" t="s">
        <v>12</v>
      </c>
      <c r="C6" s="8"/>
      <c r="D6" s="9">
        <v>45809</v>
      </c>
      <c r="E6" s="9"/>
      <c r="F6" s="10">
        <v>402.68</v>
      </c>
      <c r="G6" s="5"/>
      <c r="H6" s="6"/>
    </row>
    <row r="7" spans="1:8" customFormat="1" ht="30.6" customHeight="1" x14ac:dyDescent="0.25">
      <c r="A7" s="7">
        <v>5</v>
      </c>
      <c r="B7" s="8" t="s">
        <v>13</v>
      </c>
      <c r="C7" s="8" t="s">
        <v>14</v>
      </c>
      <c r="D7" s="9">
        <v>45809</v>
      </c>
      <c r="E7" s="9"/>
      <c r="F7" s="13">
        <v>1518</v>
      </c>
      <c r="G7" s="5"/>
      <c r="H7" s="6"/>
    </row>
    <row r="8" spans="1:8" customFormat="1" ht="30.6" customHeight="1" x14ac:dyDescent="0.25">
      <c r="A8" s="7">
        <v>6</v>
      </c>
      <c r="B8" s="8" t="s">
        <v>15</v>
      </c>
      <c r="C8" s="8" t="s">
        <v>16</v>
      </c>
      <c r="D8" s="9">
        <v>45809</v>
      </c>
      <c r="E8" s="9"/>
      <c r="F8" s="13">
        <v>2500</v>
      </c>
      <c r="G8" s="5"/>
      <c r="H8" s="6"/>
    </row>
    <row r="9" spans="1:8" customFormat="1" ht="34.5" customHeight="1" x14ac:dyDescent="0.25">
      <c r="A9" s="7">
        <v>7</v>
      </c>
      <c r="B9" s="14" t="s">
        <v>17</v>
      </c>
      <c r="C9" s="12" t="s">
        <v>18</v>
      </c>
      <c r="D9" s="9">
        <v>45809</v>
      </c>
      <c r="E9" s="9"/>
      <c r="F9" s="13">
        <v>880</v>
      </c>
      <c r="G9" s="5"/>
      <c r="H9" s="6"/>
    </row>
    <row r="10" spans="1:8" customFormat="1" ht="30.6" customHeight="1" x14ac:dyDescent="0.25">
      <c r="A10" s="7">
        <v>8</v>
      </c>
      <c r="B10" s="14" t="s">
        <v>19</v>
      </c>
      <c r="C10" s="14" t="s">
        <v>20</v>
      </c>
      <c r="D10" s="9">
        <v>45809</v>
      </c>
      <c r="E10" s="9"/>
      <c r="F10" s="13">
        <v>82.34</v>
      </c>
      <c r="G10" s="5"/>
      <c r="H10" s="6"/>
    </row>
    <row r="11" spans="1:8" customFormat="1" ht="30.6" customHeight="1" x14ac:dyDescent="0.25">
      <c r="A11" s="7">
        <v>9</v>
      </c>
      <c r="B11" s="14" t="s">
        <v>149</v>
      </c>
      <c r="C11" s="14" t="s">
        <v>150</v>
      </c>
      <c r="D11" s="9">
        <v>45809</v>
      </c>
      <c r="E11" s="9"/>
      <c r="F11" s="13">
        <v>149.9</v>
      </c>
      <c r="G11" s="5"/>
      <c r="H11" s="6"/>
    </row>
    <row r="12" spans="1:8" customFormat="1" ht="30.6" customHeight="1" x14ac:dyDescent="0.25">
      <c r="A12" s="7">
        <v>10</v>
      </c>
      <c r="B12" s="14" t="s">
        <v>21</v>
      </c>
      <c r="C12" s="12" t="s">
        <v>22</v>
      </c>
      <c r="D12" s="9">
        <v>45809</v>
      </c>
      <c r="E12" s="9"/>
      <c r="F12" s="13">
        <v>308</v>
      </c>
      <c r="G12" s="5"/>
      <c r="H12" s="15"/>
    </row>
    <row r="13" spans="1:8" customFormat="1" ht="30.6" customHeight="1" x14ac:dyDescent="0.25">
      <c r="A13" s="7">
        <v>11</v>
      </c>
      <c r="B13" s="14" t="s">
        <v>23</v>
      </c>
      <c r="C13" s="8"/>
      <c r="D13" s="9">
        <v>45809</v>
      </c>
      <c r="E13" s="9"/>
      <c r="F13" s="13">
        <v>40</v>
      </c>
      <c r="G13" s="5"/>
      <c r="H13" s="6"/>
    </row>
    <row r="14" spans="1:8" customFormat="1" ht="31.5" customHeight="1" x14ac:dyDescent="0.25">
      <c r="A14" s="7">
        <v>12</v>
      </c>
      <c r="B14" s="14" t="s">
        <v>24</v>
      </c>
      <c r="C14" s="12" t="s">
        <v>25</v>
      </c>
      <c r="D14" s="9">
        <v>45809</v>
      </c>
      <c r="E14" s="9"/>
      <c r="F14" s="13">
        <v>478.9</v>
      </c>
      <c r="G14" s="5"/>
      <c r="H14" s="6"/>
    </row>
    <row r="15" spans="1:8" customFormat="1" ht="36.75" customHeight="1" x14ac:dyDescent="0.25">
      <c r="A15" s="7">
        <v>13</v>
      </c>
      <c r="B15" s="14" t="s">
        <v>157</v>
      </c>
      <c r="C15" s="12" t="s">
        <v>158</v>
      </c>
      <c r="D15" s="9">
        <v>45809</v>
      </c>
      <c r="E15" s="9"/>
      <c r="F15" s="13">
        <v>89.46</v>
      </c>
      <c r="G15" s="5"/>
      <c r="H15" s="6"/>
    </row>
    <row r="16" spans="1:8" customFormat="1" ht="42" customHeight="1" x14ac:dyDescent="0.25">
      <c r="A16" s="48"/>
      <c r="B16" s="49" t="s">
        <v>31</v>
      </c>
      <c r="C16" s="50"/>
      <c r="D16" s="51"/>
      <c r="E16" s="52"/>
      <c r="F16" s="53">
        <f>SUM(F3:F15)</f>
        <v>91632.569999999992</v>
      </c>
      <c r="G16" s="54"/>
      <c r="H16" s="55"/>
    </row>
    <row r="17" spans="1:12" customFormat="1" ht="21.75" customHeight="1" x14ac:dyDescent="0.25">
      <c r="A17" s="16" t="s">
        <v>32</v>
      </c>
      <c r="B17" s="17" t="s">
        <v>33</v>
      </c>
      <c r="C17" s="18" t="s">
        <v>34</v>
      </c>
      <c r="D17" s="16" t="s">
        <v>35</v>
      </c>
      <c r="E17" s="16" t="s">
        <v>36</v>
      </c>
      <c r="F17" s="16" t="s">
        <v>37</v>
      </c>
      <c r="G17" s="19" t="s">
        <v>38</v>
      </c>
      <c r="H17" s="18" t="s">
        <v>39</v>
      </c>
    </row>
    <row r="18" spans="1:12" s="72" customFormat="1" ht="15" customHeight="1" x14ac:dyDescent="0.25">
      <c r="A18" s="65" t="s">
        <v>40</v>
      </c>
      <c r="B18" s="66" t="s">
        <v>41</v>
      </c>
      <c r="C18" s="67" t="s">
        <v>42</v>
      </c>
      <c r="D18" s="68">
        <v>4016</v>
      </c>
      <c r="E18" s="69">
        <f>D18/$D$60</f>
        <v>1.3299610959886176E-2</v>
      </c>
      <c r="F18" s="70">
        <f>$F$16*E18</f>
        <v>1218.677532254537</v>
      </c>
      <c r="G18" s="71">
        <f>F18*5%</f>
        <v>60.933876612726856</v>
      </c>
      <c r="H18" s="71">
        <f t="shared" ref="H18:H59" si="0">F18+G18</f>
        <v>1279.6114088672639</v>
      </c>
    </row>
    <row r="19" spans="1:12" s="74" customFormat="1" x14ac:dyDescent="0.25">
      <c r="A19" s="65" t="s">
        <v>43</v>
      </c>
      <c r="B19" s="73" t="s">
        <v>44</v>
      </c>
      <c r="C19" s="67">
        <v>18778225000139</v>
      </c>
      <c r="D19" s="68">
        <v>8711.2199999999993</v>
      </c>
      <c r="E19" s="69">
        <f t="shared" ref="E19:E59" si="1">D19/$D$60</f>
        <v>2.8848564986548714E-2</v>
      </c>
      <c r="F19" s="70">
        <f t="shared" ref="F19:F59" si="2">$F$16*E19</f>
        <v>2643.4681505294739</v>
      </c>
      <c r="G19" s="71">
        <f t="shared" ref="G19:G59" si="3">F19*5%</f>
        <v>132.17340752647371</v>
      </c>
      <c r="H19" s="71">
        <f t="shared" si="0"/>
        <v>2775.6415580559474</v>
      </c>
    </row>
    <row r="20" spans="1:12" s="74" customFormat="1" x14ac:dyDescent="0.25">
      <c r="A20" s="65" t="s">
        <v>45</v>
      </c>
      <c r="B20" s="73" t="s">
        <v>46</v>
      </c>
      <c r="C20" s="67">
        <v>41993875000119</v>
      </c>
      <c r="D20" s="68">
        <v>3641.8</v>
      </c>
      <c r="E20" s="69">
        <f t="shared" si="1"/>
        <v>1.206038924146252E-2</v>
      </c>
      <c r="F20" s="70">
        <f t="shared" si="2"/>
        <v>1105.1244613955612</v>
      </c>
      <c r="G20" s="71">
        <f t="shared" si="3"/>
        <v>55.256223069778059</v>
      </c>
      <c r="H20" s="71">
        <f t="shared" si="0"/>
        <v>1160.3806844653393</v>
      </c>
    </row>
    <row r="21" spans="1:12" s="74" customFormat="1" x14ac:dyDescent="0.25">
      <c r="A21" s="65" t="s">
        <v>47</v>
      </c>
      <c r="B21" s="66" t="s">
        <v>48</v>
      </c>
      <c r="C21" s="67">
        <v>24781302000102</v>
      </c>
      <c r="D21" s="68">
        <v>3430</v>
      </c>
      <c r="E21" s="69">
        <f t="shared" si="1"/>
        <v>1.1358980476197605E-2</v>
      </c>
      <c r="F21" s="70">
        <f t="shared" si="2"/>
        <v>1040.8525736138104</v>
      </c>
      <c r="G21" s="71">
        <f t="shared" si="3"/>
        <v>52.04262868069052</v>
      </c>
      <c r="H21" s="71">
        <f t="shared" si="0"/>
        <v>1092.8952022945009</v>
      </c>
    </row>
    <row r="22" spans="1:12" customFormat="1" x14ac:dyDescent="0.25">
      <c r="A22" s="20" t="s">
        <v>161</v>
      </c>
      <c r="B22" s="66" t="s">
        <v>162</v>
      </c>
      <c r="C22" s="22" t="s">
        <v>163</v>
      </c>
      <c r="D22" s="23">
        <v>9403</v>
      </c>
      <c r="E22" s="69">
        <f t="shared" si="1"/>
        <v>3.1139502454135885E-2</v>
      </c>
      <c r="F22" s="70">
        <f t="shared" si="2"/>
        <v>2853.3926383937778</v>
      </c>
      <c r="G22" s="26">
        <f t="shared" si="3"/>
        <v>142.6696319196889</v>
      </c>
      <c r="H22" s="26">
        <f t="shared" si="0"/>
        <v>2996.0622703134668</v>
      </c>
    </row>
    <row r="23" spans="1:12" s="74" customFormat="1" x14ac:dyDescent="0.25">
      <c r="A23" s="65" t="s">
        <v>49</v>
      </c>
      <c r="B23" s="66" t="s">
        <v>50</v>
      </c>
      <c r="C23" s="67">
        <v>38649716000197</v>
      </c>
      <c r="D23" s="68">
        <v>3440</v>
      </c>
      <c r="E23" s="69">
        <f t="shared" si="1"/>
        <v>1.1392097037352699E-2</v>
      </c>
      <c r="F23" s="70">
        <f t="shared" si="2"/>
        <v>1043.8871292220138</v>
      </c>
      <c r="G23" s="71">
        <f t="shared" si="3"/>
        <v>52.194356461100689</v>
      </c>
      <c r="H23" s="71">
        <f t="shared" si="0"/>
        <v>1096.0814856831144</v>
      </c>
    </row>
    <row r="24" spans="1:12" s="74" customFormat="1" x14ac:dyDescent="0.25">
      <c r="A24" s="65" t="s">
        <v>51</v>
      </c>
      <c r="B24" s="66" t="s">
        <v>52</v>
      </c>
      <c r="C24" s="67" t="s">
        <v>53</v>
      </c>
      <c r="D24" s="68">
        <v>4056</v>
      </c>
      <c r="E24" s="69">
        <f t="shared" si="1"/>
        <v>1.3432077204506556E-2</v>
      </c>
      <c r="F24" s="70">
        <f t="shared" si="2"/>
        <v>1230.8157546873513</v>
      </c>
      <c r="G24" s="71">
        <f t="shared" si="3"/>
        <v>61.540787734367569</v>
      </c>
      <c r="H24" s="71">
        <f t="shared" si="0"/>
        <v>1292.3565424217188</v>
      </c>
    </row>
    <row r="25" spans="1:12" s="74" customFormat="1" x14ac:dyDescent="0.25">
      <c r="A25" s="65" t="s">
        <v>54</v>
      </c>
      <c r="B25" s="66" t="s">
        <v>55</v>
      </c>
      <c r="C25" s="67" t="s">
        <v>56</v>
      </c>
      <c r="D25" s="68">
        <v>11580</v>
      </c>
      <c r="E25" s="69">
        <f t="shared" si="1"/>
        <v>3.8348977817600077E-2</v>
      </c>
      <c r="F25" s="70">
        <f t="shared" si="2"/>
        <v>3514.0153942996862</v>
      </c>
      <c r="G25" s="71">
        <f t="shared" si="3"/>
        <v>175.70076971498432</v>
      </c>
      <c r="H25" s="71">
        <f t="shared" si="0"/>
        <v>3689.7161640146705</v>
      </c>
    </row>
    <row r="26" spans="1:12" s="74" customFormat="1" x14ac:dyDescent="0.25">
      <c r="A26" s="65" t="s">
        <v>57</v>
      </c>
      <c r="B26" s="66" t="s">
        <v>58</v>
      </c>
      <c r="C26" s="67" t="s">
        <v>59</v>
      </c>
      <c r="D26" s="68">
        <f>360+360+1510</f>
        <v>2230</v>
      </c>
      <c r="E26" s="69">
        <f t="shared" si="1"/>
        <v>7.3849931375861979E-3</v>
      </c>
      <c r="F26" s="70">
        <f t="shared" si="2"/>
        <v>676.70590062938686</v>
      </c>
      <c r="G26" s="71">
        <f t="shared" si="3"/>
        <v>33.835295031469343</v>
      </c>
      <c r="H26" s="71">
        <f t="shared" si="0"/>
        <v>710.54119566085615</v>
      </c>
    </row>
    <row r="27" spans="1:12" s="79" customFormat="1" ht="15.75" customHeight="1" x14ac:dyDescent="0.25">
      <c r="A27" s="65" t="s">
        <v>60</v>
      </c>
      <c r="B27" s="75" t="s">
        <v>61</v>
      </c>
      <c r="C27" s="76" t="s">
        <v>62</v>
      </c>
      <c r="D27" s="68">
        <f>5224+3930</f>
        <v>9154</v>
      </c>
      <c r="E27" s="69">
        <f t="shared" si="1"/>
        <v>3.0314900081374017E-2</v>
      </c>
      <c r="F27" s="70">
        <f t="shared" si="2"/>
        <v>2777.83220374951</v>
      </c>
      <c r="G27" s="71">
        <f t="shared" si="3"/>
        <v>138.89161018747549</v>
      </c>
      <c r="H27" s="77">
        <f t="shared" si="0"/>
        <v>2916.7238139369856</v>
      </c>
      <c r="I27" s="78" t="s">
        <v>63</v>
      </c>
      <c r="L27" s="79" t="s">
        <v>64</v>
      </c>
    </row>
    <row r="28" spans="1:12" s="74" customFormat="1" ht="15.75" customHeight="1" x14ac:dyDescent="0.25">
      <c r="A28" s="65" t="s">
        <v>65</v>
      </c>
      <c r="B28" s="73" t="s">
        <v>66</v>
      </c>
      <c r="C28" s="67" t="s">
        <v>67</v>
      </c>
      <c r="D28" s="68">
        <v>2610</v>
      </c>
      <c r="E28" s="69">
        <f t="shared" si="1"/>
        <v>8.6434224614798105E-3</v>
      </c>
      <c r="F28" s="70">
        <f t="shared" si="2"/>
        <v>792.01901374112094</v>
      </c>
      <c r="G28" s="71">
        <f t="shared" si="3"/>
        <v>39.600950687056049</v>
      </c>
      <c r="H28" s="71">
        <f t="shared" si="0"/>
        <v>831.61996442817701</v>
      </c>
    </row>
    <row r="29" spans="1:12" s="74" customFormat="1" ht="15.75" customHeight="1" x14ac:dyDescent="0.25">
      <c r="A29" s="65" t="s">
        <v>68</v>
      </c>
      <c r="B29" s="73" t="s">
        <v>69</v>
      </c>
      <c r="C29" s="67" t="s">
        <v>70</v>
      </c>
      <c r="D29" s="68">
        <v>5515</v>
      </c>
      <c r="E29" s="69">
        <f t="shared" si="1"/>
        <v>1.8263783477034924E-2</v>
      </c>
      <c r="F29" s="70">
        <f t="shared" si="2"/>
        <v>1673.557417924246</v>
      </c>
      <c r="G29" s="71">
        <f t="shared" si="3"/>
        <v>83.677870896212312</v>
      </c>
      <c r="H29" s="71">
        <f t="shared" si="0"/>
        <v>1757.2352888204582</v>
      </c>
    </row>
    <row r="30" spans="1:12" s="74" customFormat="1" ht="15.75" customHeight="1" x14ac:dyDescent="0.25">
      <c r="A30" s="65" t="s">
        <v>71</v>
      </c>
      <c r="B30" s="66" t="s">
        <v>72</v>
      </c>
      <c r="C30" s="67">
        <v>17202383000183</v>
      </c>
      <c r="D30" s="68">
        <v>15332</v>
      </c>
      <c r="E30" s="69">
        <f t="shared" si="1"/>
        <v>5.0774311562991746E-2</v>
      </c>
      <c r="F30" s="70">
        <f t="shared" si="2"/>
        <v>4652.5806584976499</v>
      </c>
      <c r="G30" s="71">
        <f t="shared" si="3"/>
        <v>232.62903292488249</v>
      </c>
      <c r="H30" s="71">
        <f t="shared" si="0"/>
        <v>4885.2096914225322</v>
      </c>
    </row>
    <row r="31" spans="1:12" s="74" customFormat="1" ht="15.75" customHeight="1" x14ac:dyDescent="0.25">
      <c r="A31" s="65" t="s">
        <v>73</v>
      </c>
      <c r="B31" s="66" t="s">
        <v>74</v>
      </c>
      <c r="C31" s="67">
        <v>18183488000103</v>
      </c>
      <c r="D31" s="68">
        <v>7238</v>
      </c>
      <c r="E31" s="69">
        <f t="shared" si="1"/>
        <v>2.3969766964057802E-2</v>
      </c>
      <c r="F31" s="70">
        <f t="shared" si="2"/>
        <v>2196.4113492177139</v>
      </c>
      <c r="G31" s="71">
        <f t="shared" si="3"/>
        <v>109.8205674608857</v>
      </c>
      <c r="H31" s="71">
        <f t="shared" si="0"/>
        <v>2306.2319166785996</v>
      </c>
    </row>
    <row r="32" spans="1:12" s="74" customFormat="1" x14ac:dyDescent="0.25">
      <c r="A32" s="65" t="s">
        <v>75</v>
      </c>
      <c r="B32" s="66" t="s">
        <v>76</v>
      </c>
      <c r="C32" s="67">
        <v>18244070000150</v>
      </c>
      <c r="D32" s="68">
        <v>5941</v>
      </c>
      <c r="E32" s="69">
        <f t="shared" si="1"/>
        <v>1.9674548982241975E-2</v>
      </c>
      <c r="F32" s="70">
        <f t="shared" si="2"/>
        <v>1802.8294868337164</v>
      </c>
      <c r="G32" s="71">
        <f t="shared" si="3"/>
        <v>90.141474341685822</v>
      </c>
      <c r="H32" s="71">
        <f t="shared" si="0"/>
        <v>1892.9709611754022</v>
      </c>
    </row>
    <row r="33" spans="1:12" s="74" customFormat="1" x14ac:dyDescent="0.25">
      <c r="A33" s="65" t="s">
        <v>77</v>
      </c>
      <c r="B33" s="66" t="s">
        <v>78</v>
      </c>
      <c r="C33" s="67">
        <v>18244039000110</v>
      </c>
      <c r="D33" s="68">
        <v>4460</v>
      </c>
      <c r="E33" s="69">
        <f t="shared" si="1"/>
        <v>1.4769986275172396E-2</v>
      </c>
      <c r="F33" s="70">
        <f t="shared" si="2"/>
        <v>1353.4118012587737</v>
      </c>
      <c r="G33" s="71">
        <f t="shared" si="3"/>
        <v>67.670590062938686</v>
      </c>
      <c r="H33" s="71">
        <f t="shared" si="0"/>
        <v>1421.0823913217123</v>
      </c>
    </row>
    <row r="34" spans="1:12" s="74" customFormat="1" x14ac:dyDescent="0.25">
      <c r="A34" s="65" t="s">
        <v>79</v>
      </c>
      <c r="B34" s="66" t="s">
        <v>153</v>
      </c>
      <c r="C34" s="67" t="s">
        <v>154</v>
      </c>
      <c r="D34" s="68">
        <v>4415</v>
      </c>
      <c r="E34" s="69">
        <f t="shared" si="1"/>
        <v>1.4620961749974468E-2</v>
      </c>
      <c r="F34" s="70">
        <f t="shared" si="2"/>
        <v>1339.7563010218578</v>
      </c>
      <c r="G34" s="71">
        <f t="shared" si="3"/>
        <v>66.987815051092895</v>
      </c>
      <c r="H34" s="71">
        <f t="shared" si="0"/>
        <v>1406.7441160729506</v>
      </c>
    </row>
    <row r="35" spans="1:12" s="74" customFormat="1" x14ac:dyDescent="0.25">
      <c r="A35" s="65" t="s">
        <v>81</v>
      </c>
      <c r="B35" s="66" t="s">
        <v>82</v>
      </c>
      <c r="C35" s="67" t="s">
        <v>83</v>
      </c>
      <c r="D35" s="68">
        <v>8673</v>
      </c>
      <c r="E35" s="69">
        <f t="shared" si="1"/>
        <v>2.8721993489813944E-2</v>
      </c>
      <c r="F35" s="70">
        <f t="shared" si="2"/>
        <v>2631.8700789949203</v>
      </c>
      <c r="G35" s="71">
        <f t="shared" si="3"/>
        <v>131.59350394974601</v>
      </c>
      <c r="H35" s="71">
        <f t="shared" si="0"/>
        <v>2763.4635829446661</v>
      </c>
    </row>
    <row r="36" spans="1:12" s="74" customFormat="1" x14ac:dyDescent="0.25">
      <c r="A36" s="65" t="s">
        <v>84</v>
      </c>
      <c r="B36" s="66" t="s">
        <v>155</v>
      </c>
      <c r="C36" s="67" t="s">
        <v>86</v>
      </c>
      <c r="D36" s="68">
        <v>9239</v>
      </c>
      <c r="E36" s="69">
        <f t="shared" si="1"/>
        <v>3.0596390851192326E-2</v>
      </c>
      <c r="F36" s="70">
        <f t="shared" si="2"/>
        <v>2803.6259264192404</v>
      </c>
      <c r="G36" s="71">
        <f t="shared" si="3"/>
        <v>140.18129632096202</v>
      </c>
      <c r="H36" s="71">
        <f t="shared" si="0"/>
        <v>2943.8072227402026</v>
      </c>
    </row>
    <row r="37" spans="1:12" s="74" customFormat="1" x14ac:dyDescent="0.25">
      <c r="A37" s="65" t="s">
        <v>87</v>
      </c>
      <c r="B37" s="66" t="s">
        <v>88</v>
      </c>
      <c r="C37" s="67" t="s">
        <v>89</v>
      </c>
      <c r="D37" s="68">
        <v>4892</v>
      </c>
      <c r="E37" s="69">
        <f t="shared" si="1"/>
        <v>1.6200621717072504E-2</v>
      </c>
      <c r="F37" s="70">
        <f t="shared" si="2"/>
        <v>1484.5046035331663</v>
      </c>
      <c r="G37" s="71">
        <f t="shared" si="3"/>
        <v>74.225230176658314</v>
      </c>
      <c r="H37" s="71">
        <f t="shared" si="0"/>
        <v>1558.7298337098246</v>
      </c>
    </row>
    <row r="38" spans="1:12" s="74" customFormat="1" x14ac:dyDescent="0.25">
      <c r="A38" s="65" t="s">
        <v>90</v>
      </c>
      <c r="B38" s="66" t="s">
        <v>91</v>
      </c>
      <c r="C38" s="67">
        <v>41497649000147</v>
      </c>
      <c r="D38" s="68">
        <v>2526</v>
      </c>
      <c r="E38" s="69">
        <f t="shared" si="1"/>
        <v>8.3652433477770117E-3</v>
      </c>
      <c r="F38" s="70">
        <f t="shared" si="2"/>
        <v>766.52874663221132</v>
      </c>
      <c r="G38" s="71">
        <f t="shared" si="3"/>
        <v>38.32643733161057</v>
      </c>
      <c r="H38" s="71">
        <f t="shared" si="0"/>
        <v>804.8551839638219</v>
      </c>
    </row>
    <row r="39" spans="1:12" s="74" customFormat="1" x14ac:dyDescent="0.25">
      <c r="A39" s="65" t="s">
        <v>92</v>
      </c>
      <c r="B39" s="66" t="s">
        <v>93</v>
      </c>
      <c r="C39" s="67">
        <v>40580071000125</v>
      </c>
      <c r="D39" s="68">
        <v>3600</v>
      </c>
      <c r="E39" s="69">
        <f t="shared" si="1"/>
        <v>1.1921962015834221E-2</v>
      </c>
      <c r="F39" s="70">
        <f t="shared" si="2"/>
        <v>1092.4400189532703</v>
      </c>
      <c r="G39" s="71">
        <f t="shared" si="3"/>
        <v>54.622000947663516</v>
      </c>
      <c r="H39" s="71">
        <f t="shared" si="0"/>
        <v>1147.0620199009338</v>
      </c>
      <c r="I39" s="78" t="s">
        <v>63</v>
      </c>
      <c r="L39" s="74" t="s">
        <v>94</v>
      </c>
    </row>
    <row r="40" spans="1:12" s="74" customFormat="1" x14ac:dyDescent="0.25">
      <c r="A40" s="65" t="s">
        <v>95</v>
      </c>
      <c r="B40" s="66" t="s">
        <v>96</v>
      </c>
      <c r="C40" s="67" t="s">
        <v>97</v>
      </c>
      <c r="D40" s="68">
        <v>3938</v>
      </c>
      <c r="E40" s="69">
        <f t="shared" si="1"/>
        <v>1.3041301782876434E-2</v>
      </c>
      <c r="F40" s="70">
        <f t="shared" si="2"/>
        <v>1195.0079985105494</v>
      </c>
      <c r="G40" s="71">
        <f t="shared" si="3"/>
        <v>59.750399925527475</v>
      </c>
      <c r="H40" s="71">
        <f t="shared" si="0"/>
        <v>1254.758398436077</v>
      </c>
    </row>
    <row r="41" spans="1:12" s="74" customFormat="1" x14ac:dyDescent="0.25">
      <c r="A41" s="65" t="s">
        <v>98</v>
      </c>
      <c r="B41" s="66" t="s">
        <v>167</v>
      </c>
      <c r="C41" s="67" t="s">
        <v>168</v>
      </c>
      <c r="D41" s="68">
        <v>3707</v>
      </c>
      <c r="E41" s="69">
        <f t="shared" si="1"/>
        <v>1.2276309220193739E-2</v>
      </c>
      <c r="F41" s="70">
        <f t="shared" si="2"/>
        <v>1124.9097639610482</v>
      </c>
      <c r="G41" s="71">
        <f t="shared" si="3"/>
        <v>56.245488198052414</v>
      </c>
      <c r="H41" s="71">
        <f t="shared" si="0"/>
        <v>1181.1552521591007</v>
      </c>
    </row>
    <row r="42" spans="1:12" s="74" customFormat="1" x14ac:dyDescent="0.25">
      <c r="A42" s="65" t="s">
        <v>100</v>
      </c>
      <c r="B42" s="66" t="s">
        <v>101</v>
      </c>
      <c r="C42" s="67">
        <v>42109766000159</v>
      </c>
      <c r="D42" s="68">
        <v>5117</v>
      </c>
      <c r="E42" s="69">
        <f t="shared" si="1"/>
        <v>1.694574434306214E-2</v>
      </c>
      <c r="F42" s="70">
        <f t="shared" si="2"/>
        <v>1552.7821047177454</v>
      </c>
      <c r="G42" s="71">
        <f t="shared" si="3"/>
        <v>77.639105235887271</v>
      </c>
      <c r="H42" s="71">
        <f t="shared" si="0"/>
        <v>1630.4212099536326</v>
      </c>
    </row>
    <row r="43" spans="1:12" s="74" customFormat="1" x14ac:dyDescent="0.25">
      <c r="A43" s="65" t="s">
        <v>102</v>
      </c>
      <c r="B43" s="66" t="s">
        <v>99</v>
      </c>
      <c r="C43" s="67">
        <v>18788190000119</v>
      </c>
      <c r="D43" s="68">
        <v>14717</v>
      </c>
      <c r="E43" s="69">
        <f t="shared" si="1"/>
        <v>4.8737643051953397E-2</v>
      </c>
      <c r="F43" s="70">
        <f t="shared" si="2"/>
        <v>4465.9554885931329</v>
      </c>
      <c r="G43" s="71">
        <f t="shared" si="3"/>
        <v>223.29777442965667</v>
      </c>
      <c r="H43" s="71">
        <f t="shared" si="0"/>
        <v>4689.2532630227897</v>
      </c>
    </row>
    <row r="44" spans="1:12" s="74" customFormat="1" ht="13.5" customHeight="1" x14ac:dyDescent="0.25">
      <c r="A44" s="65" t="s">
        <v>103</v>
      </c>
      <c r="B44" s="66" t="s">
        <v>104</v>
      </c>
      <c r="C44" s="67">
        <v>32302613000170</v>
      </c>
      <c r="D44" s="68">
        <v>5439</v>
      </c>
      <c r="E44" s="69">
        <f t="shared" si="1"/>
        <v>1.8012097612256202E-2</v>
      </c>
      <c r="F44" s="70">
        <f t="shared" si="2"/>
        <v>1650.4947953018991</v>
      </c>
      <c r="G44" s="71">
        <f t="shared" si="3"/>
        <v>82.524739765094964</v>
      </c>
      <c r="H44" s="71">
        <f t="shared" si="0"/>
        <v>1733.019535066994</v>
      </c>
    </row>
    <row r="45" spans="1:12" s="74" customFormat="1" x14ac:dyDescent="0.25">
      <c r="A45" s="65" t="s">
        <v>105</v>
      </c>
      <c r="B45" s="66" t="s">
        <v>106</v>
      </c>
      <c r="C45" s="67">
        <v>28616552000148</v>
      </c>
      <c r="D45" s="68">
        <v>4123.71</v>
      </c>
      <c r="E45" s="69">
        <f t="shared" si="1"/>
        <v>1.3656309440087704E-2</v>
      </c>
      <c r="F45" s="70">
        <f t="shared" si="2"/>
        <v>1251.3627307104973</v>
      </c>
      <c r="G45" s="71">
        <f t="shared" si="3"/>
        <v>62.568136535524872</v>
      </c>
      <c r="H45" s="71">
        <f t="shared" si="0"/>
        <v>1313.9308672460222</v>
      </c>
    </row>
    <row r="46" spans="1:12" s="74" customFormat="1" x14ac:dyDescent="0.25">
      <c r="A46" s="65" t="s">
        <v>107</v>
      </c>
      <c r="B46" s="66" t="s">
        <v>108</v>
      </c>
      <c r="C46" s="67">
        <v>42579914000107</v>
      </c>
      <c r="D46" s="68">
        <v>4986.3599999999997</v>
      </c>
      <c r="E46" s="69">
        <f t="shared" si="1"/>
        <v>1.6513109588131979E-2</v>
      </c>
      <c r="F46" s="70">
        <f t="shared" si="2"/>
        <v>1513.1386702521745</v>
      </c>
      <c r="G46" s="71">
        <f t="shared" si="3"/>
        <v>75.656933512608731</v>
      </c>
      <c r="H46" s="71">
        <f t="shared" si="0"/>
        <v>1588.7956037647832</v>
      </c>
    </row>
    <row r="47" spans="1:12" s="74" customFormat="1" x14ac:dyDescent="0.25">
      <c r="A47" s="65" t="s">
        <v>109</v>
      </c>
      <c r="B47" s="66" t="s">
        <v>110</v>
      </c>
      <c r="C47" s="67" t="s">
        <v>111</v>
      </c>
      <c r="D47" s="68">
        <v>7462</v>
      </c>
      <c r="E47" s="69">
        <f t="shared" si="1"/>
        <v>2.4711577933931934E-2</v>
      </c>
      <c r="F47" s="70">
        <f t="shared" si="2"/>
        <v>2264.385394841473</v>
      </c>
      <c r="G47" s="71">
        <f t="shared" si="3"/>
        <v>113.21926974207366</v>
      </c>
      <c r="H47" s="71">
        <f t="shared" si="0"/>
        <v>2377.6046645835468</v>
      </c>
    </row>
    <row r="48" spans="1:12" s="74" customFormat="1" x14ac:dyDescent="0.25">
      <c r="A48" s="65" t="s">
        <v>112</v>
      </c>
      <c r="B48" s="66" t="s">
        <v>113</v>
      </c>
      <c r="C48" s="67" t="s">
        <v>114</v>
      </c>
      <c r="D48" s="68">
        <v>5525</v>
      </c>
      <c r="E48" s="69">
        <f t="shared" si="1"/>
        <v>1.8296900038190018E-2</v>
      </c>
      <c r="F48" s="70">
        <f t="shared" si="2"/>
        <v>1676.5919735324494</v>
      </c>
      <c r="G48" s="71">
        <f t="shared" si="3"/>
        <v>83.829598676622481</v>
      </c>
      <c r="H48" s="71">
        <f t="shared" si="0"/>
        <v>1760.4215722090719</v>
      </c>
    </row>
    <row r="49" spans="1:8" s="74" customFormat="1" x14ac:dyDescent="0.25">
      <c r="A49" s="65" t="s">
        <v>115</v>
      </c>
      <c r="B49" s="66" t="s">
        <v>116</v>
      </c>
      <c r="C49" s="67">
        <v>26480299000112</v>
      </c>
      <c r="D49" s="68"/>
      <c r="E49" s="69">
        <f t="shared" si="1"/>
        <v>0</v>
      </c>
      <c r="F49" s="70">
        <f t="shared" si="2"/>
        <v>0</v>
      </c>
      <c r="G49" s="71">
        <f t="shared" si="3"/>
        <v>0</v>
      </c>
      <c r="H49" s="71">
        <f t="shared" si="0"/>
        <v>0</v>
      </c>
    </row>
    <row r="50" spans="1:8" s="74" customFormat="1" x14ac:dyDescent="0.25">
      <c r="A50" s="65" t="s">
        <v>117</v>
      </c>
      <c r="B50" s="66" t="s">
        <v>118</v>
      </c>
      <c r="C50" s="67" t="s">
        <v>119</v>
      </c>
      <c r="D50" s="68">
        <v>4943</v>
      </c>
      <c r="E50" s="69">
        <f t="shared" si="1"/>
        <v>1.6369516178963487E-2</v>
      </c>
      <c r="F50" s="70">
        <f t="shared" si="2"/>
        <v>1499.9808371350041</v>
      </c>
      <c r="G50" s="71">
        <f t="shared" si="3"/>
        <v>74.99904185675021</v>
      </c>
      <c r="H50" s="71">
        <f t="shared" si="0"/>
        <v>1574.9798789917543</v>
      </c>
    </row>
    <row r="51" spans="1:8" s="74" customFormat="1" x14ac:dyDescent="0.25">
      <c r="A51" s="65" t="s">
        <v>120</v>
      </c>
      <c r="B51" s="66" t="s">
        <v>121</v>
      </c>
      <c r="C51" s="67">
        <v>12997366000166</v>
      </c>
      <c r="D51" s="68">
        <v>5160</v>
      </c>
      <c r="E51" s="69">
        <f t="shared" si="1"/>
        <v>1.7088145556029052E-2</v>
      </c>
      <c r="F51" s="70">
        <f t="shared" si="2"/>
        <v>1565.8306938330209</v>
      </c>
      <c r="G51" s="71">
        <f t="shared" si="3"/>
        <v>78.291534691651052</v>
      </c>
      <c r="H51" s="71">
        <f t="shared" si="0"/>
        <v>1644.122228524672</v>
      </c>
    </row>
    <row r="52" spans="1:8" s="74" customFormat="1" ht="16.5" customHeight="1" x14ac:dyDescent="0.25">
      <c r="A52" s="65" t="s">
        <v>122</v>
      </c>
      <c r="B52" s="66" t="s">
        <v>123</v>
      </c>
      <c r="C52" s="67" t="s">
        <v>124</v>
      </c>
      <c r="D52" s="68">
        <v>6586</v>
      </c>
      <c r="E52" s="69">
        <f t="shared" si="1"/>
        <v>2.1810567176745607E-2</v>
      </c>
      <c r="F52" s="70">
        <f t="shared" si="2"/>
        <v>1998.558323562844</v>
      </c>
      <c r="G52" s="71">
        <f t="shared" si="3"/>
        <v>99.927916178142198</v>
      </c>
      <c r="H52" s="71">
        <f t="shared" si="0"/>
        <v>2098.4862397409861</v>
      </c>
    </row>
    <row r="53" spans="1:8" customFormat="1" x14ac:dyDescent="0.25">
      <c r="A53" s="20" t="s">
        <v>125</v>
      </c>
      <c r="B53" s="21" t="s">
        <v>126</v>
      </c>
      <c r="C53" s="22">
        <v>11884518000151</v>
      </c>
      <c r="D53" s="23">
        <v>5644</v>
      </c>
      <c r="E53" s="24">
        <f t="shared" si="1"/>
        <v>1.8690987115935653E-2</v>
      </c>
      <c r="F53" s="25">
        <f t="shared" si="2"/>
        <v>1712.7031852700716</v>
      </c>
      <c r="G53" s="26">
        <f t="shared" si="3"/>
        <v>85.635159263503581</v>
      </c>
      <c r="H53" s="26">
        <f t="shared" si="0"/>
        <v>1798.3383445335751</v>
      </c>
    </row>
    <row r="54" spans="1:8" s="74" customFormat="1" x14ac:dyDescent="0.25">
      <c r="A54" s="65" t="s">
        <v>127</v>
      </c>
      <c r="B54" s="66" t="s">
        <v>128</v>
      </c>
      <c r="C54" s="67">
        <v>36188051000136</v>
      </c>
      <c r="D54" s="68">
        <v>6936</v>
      </c>
      <c r="E54" s="69">
        <f t="shared" si="1"/>
        <v>2.2969646817173933E-2</v>
      </c>
      <c r="F54" s="70">
        <f t="shared" si="2"/>
        <v>2104.7677698499674</v>
      </c>
      <c r="G54" s="71">
        <f t="shared" si="3"/>
        <v>105.23838849249837</v>
      </c>
      <c r="H54" s="71">
        <f t="shared" si="0"/>
        <v>2210.0061583424658</v>
      </c>
    </row>
    <row r="55" spans="1:8" s="74" customFormat="1" x14ac:dyDescent="0.25">
      <c r="A55" s="65" t="s">
        <v>129</v>
      </c>
      <c r="B55" s="66" t="s">
        <v>130</v>
      </c>
      <c r="C55" s="67" t="s">
        <v>131</v>
      </c>
      <c r="D55" s="68">
        <f>7425*40%</f>
        <v>2970</v>
      </c>
      <c r="E55" s="69">
        <f t="shared" si="1"/>
        <v>9.8356186630632319E-3</v>
      </c>
      <c r="F55" s="70">
        <f t="shared" si="2"/>
        <v>901.2630156364479</v>
      </c>
      <c r="G55" s="71">
        <f t="shared" si="3"/>
        <v>45.063150781822401</v>
      </c>
      <c r="H55" s="71">
        <f t="shared" si="0"/>
        <v>946.3261664182703</v>
      </c>
    </row>
    <row r="56" spans="1:8" s="74" customFormat="1" x14ac:dyDescent="0.25">
      <c r="A56" s="65" t="s">
        <v>132</v>
      </c>
      <c r="B56" s="66" t="s">
        <v>133</v>
      </c>
      <c r="C56" s="67">
        <v>18741082000190</v>
      </c>
      <c r="D56" s="68">
        <v>12183</v>
      </c>
      <c r="E56" s="69">
        <f t="shared" si="1"/>
        <v>4.0345906455252309E-2</v>
      </c>
      <c r="F56" s="70">
        <f t="shared" si="2"/>
        <v>3696.9990974743587</v>
      </c>
      <c r="G56" s="71">
        <f t="shared" si="3"/>
        <v>184.84995487371793</v>
      </c>
      <c r="H56" s="71">
        <f t="shared" si="0"/>
        <v>3881.8490523480768</v>
      </c>
    </row>
    <row r="57" spans="1:8" s="74" customFormat="1" x14ac:dyDescent="0.25">
      <c r="A57" s="65" t="s">
        <v>134</v>
      </c>
      <c r="B57" s="66" t="s">
        <v>135</v>
      </c>
      <c r="C57" s="67" t="s">
        <v>136</v>
      </c>
      <c r="D57" s="68">
        <v>4814</v>
      </c>
      <c r="E57" s="69">
        <f t="shared" si="1"/>
        <v>1.5942312540062762E-2</v>
      </c>
      <c r="F57" s="70">
        <f t="shared" si="2"/>
        <v>1460.8350697891788</v>
      </c>
      <c r="G57" s="71">
        <f t="shared" si="3"/>
        <v>73.041753489458941</v>
      </c>
      <c r="H57" s="71">
        <f t="shared" si="0"/>
        <v>1533.8768232786376</v>
      </c>
    </row>
    <row r="58" spans="1:8" s="74" customFormat="1" x14ac:dyDescent="0.25">
      <c r="A58" s="65" t="s">
        <v>137</v>
      </c>
      <c r="B58" s="66" t="s">
        <v>138</v>
      </c>
      <c r="C58" s="67" t="s">
        <v>139</v>
      </c>
      <c r="D58" s="68">
        <v>3476.86</v>
      </c>
      <c r="E58" s="69">
        <f t="shared" si="1"/>
        <v>1.1514164681770382E-2</v>
      </c>
      <c r="F58" s="70">
        <f t="shared" si="2"/>
        <v>1055.0725011938521</v>
      </c>
      <c r="G58" s="71">
        <f t="shared" si="3"/>
        <v>52.75362505969261</v>
      </c>
      <c r="H58" s="71">
        <f t="shared" si="0"/>
        <v>1107.8261262535448</v>
      </c>
    </row>
    <row r="59" spans="1:8" s="74" customFormat="1" x14ac:dyDescent="0.25">
      <c r="A59" s="65" t="s">
        <v>140</v>
      </c>
      <c r="B59" s="73" t="s">
        <v>141</v>
      </c>
      <c r="C59" s="67">
        <v>11884518000151</v>
      </c>
      <c r="D59" s="68">
        <f>81377.44-14717-3314-9239+11302+4126.33-9403</f>
        <v>60132.770000000004</v>
      </c>
      <c r="E59" s="69">
        <f t="shared" si="1"/>
        <v>0.19913905551302657</v>
      </c>
      <c r="F59" s="70">
        <f t="shared" si="2"/>
        <v>18247.623444031291</v>
      </c>
      <c r="G59" s="71">
        <f t="shared" si="3"/>
        <v>912.3811722015646</v>
      </c>
      <c r="H59" s="71">
        <f t="shared" si="0"/>
        <v>19160.004616232854</v>
      </c>
    </row>
    <row r="60" spans="1:8" customFormat="1" x14ac:dyDescent="0.25">
      <c r="A60" s="34"/>
      <c r="B60" s="35"/>
      <c r="C60" s="36" t="s">
        <v>142</v>
      </c>
      <c r="D60" s="37">
        <f>SUM(D18:D59)</f>
        <v>301963.71999999997</v>
      </c>
      <c r="E60" s="38">
        <f>SUM(E18:E59)</f>
        <v>1</v>
      </c>
      <c r="F60" s="39">
        <f>SUM(F18:F59)</f>
        <v>91632.57</v>
      </c>
      <c r="G60" s="39">
        <f>SUM(G18:G59)</f>
        <v>4581.6285000000016</v>
      </c>
      <c r="H60" s="40">
        <f>SUM(H18:H59)</f>
        <v>96214.198499999984</v>
      </c>
    </row>
    <row r="61" spans="1:8" customFormat="1" x14ac:dyDescent="0.25">
      <c r="F61" s="41"/>
    </row>
    <row r="62" spans="1:8" customFormat="1" x14ac:dyDescent="0.25">
      <c r="F62" s="41"/>
    </row>
    <row r="63" spans="1:8" customFormat="1" x14ac:dyDescent="0.25">
      <c r="D63" s="44"/>
      <c r="E63" s="41"/>
      <c r="H63" s="42"/>
    </row>
    <row r="64" spans="1:8" customFormat="1" x14ac:dyDescent="0.25">
      <c r="E64" s="41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spans="1:5" customFormat="1" x14ac:dyDescent="0.25"/>
    <row r="130" spans="1:5" customFormat="1" x14ac:dyDescent="0.25"/>
    <row r="131" spans="1:5" customFormat="1" x14ac:dyDescent="0.25"/>
    <row r="132" spans="1:5" customFormat="1" x14ac:dyDescent="0.25"/>
    <row r="133" spans="1:5" customFormat="1" x14ac:dyDescent="0.25"/>
    <row r="134" spans="1:5" customFormat="1" x14ac:dyDescent="0.25"/>
    <row r="135" spans="1:5" customFormat="1" x14ac:dyDescent="0.25"/>
    <row r="136" spans="1:5" customFormat="1" x14ac:dyDescent="0.25"/>
    <row r="137" spans="1:5" customFormat="1" x14ac:dyDescent="0.25"/>
    <row r="138" spans="1:5" customFormat="1" x14ac:dyDescent="0.25"/>
    <row r="139" spans="1:5" customFormat="1" x14ac:dyDescent="0.25"/>
    <row r="140" spans="1:5" customFormat="1" x14ac:dyDescent="0.25"/>
    <row r="141" spans="1:5" customFormat="1" x14ac:dyDescent="0.25"/>
    <row r="142" spans="1:5" customFormat="1" x14ac:dyDescent="0.25"/>
    <row r="143" spans="1:5" customFormat="1" x14ac:dyDescent="0.25"/>
    <row r="144" spans="1:5" customFormat="1" x14ac:dyDescent="0.25">
      <c r="A144" s="45"/>
      <c r="B144" s="45"/>
      <c r="C144" s="45"/>
      <c r="D144" s="45"/>
      <c r="E144" s="45"/>
    </row>
    <row r="145" spans="6:8" x14ac:dyDescent="0.25">
      <c r="F145"/>
      <c r="G145"/>
      <c r="H145"/>
    </row>
    <row r="146" spans="6:8" x14ac:dyDescent="0.25">
      <c r="F146"/>
      <c r="G146"/>
      <c r="H146"/>
    </row>
    <row r="147" spans="6:8" x14ac:dyDescent="0.25">
      <c r="F147"/>
      <c r="G147"/>
      <c r="H147"/>
    </row>
    <row r="148" spans="6:8" x14ac:dyDescent="0.25">
      <c r="F148"/>
      <c r="G148"/>
      <c r="H148"/>
    </row>
    <row r="149" spans="6:8" x14ac:dyDescent="0.25">
      <c r="F149"/>
      <c r="G149"/>
      <c r="H149"/>
    </row>
    <row r="150" spans="6:8" x14ac:dyDescent="0.25">
      <c r="F150"/>
      <c r="G150"/>
      <c r="H150"/>
    </row>
    <row r="151" spans="6:8" x14ac:dyDescent="0.25">
      <c r="F151"/>
      <c r="G151"/>
      <c r="H151"/>
    </row>
    <row r="152" spans="6:8" x14ac:dyDescent="0.25">
      <c r="F152"/>
      <c r="G152"/>
      <c r="H152"/>
    </row>
    <row r="153" spans="6:8" x14ac:dyDescent="0.25">
      <c r="F153"/>
      <c r="G153"/>
      <c r="H153"/>
    </row>
    <row r="154" spans="6:8" x14ac:dyDescent="0.25">
      <c r="F154"/>
      <c r="G154"/>
      <c r="H154"/>
    </row>
    <row r="155" spans="6:8" x14ac:dyDescent="0.25">
      <c r="F155"/>
      <c r="G155"/>
      <c r="H155"/>
    </row>
    <row r="156" spans="6:8" x14ac:dyDescent="0.25">
      <c r="F156"/>
      <c r="G156"/>
      <c r="H156"/>
    </row>
    <row r="157" spans="6:8" x14ac:dyDescent="0.25">
      <c r="F157"/>
      <c r="G157"/>
      <c r="H157"/>
    </row>
    <row r="158" spans="6:8" x14ac:dyDescent="0.25">
      <c r="F158"/>
      <c r="G158"/>
      <c r="H158"/>
    </row>
    <row r="159" spans="6:8" x14ac:dyDescent="0.25">
      <c r="F159"/>
      <c r="G159"/>
      <c r="H159"/>
    </row>
    <row r="160" spans="6:8" x14ac:dyDescent="0.25">
      <c r="F160"/>
      <c r="G160"/>
      <c r="H160"/>
    </row>
    <row r="161" spans="6:8" x14ac:dyDescent="0.25">
      <c r="F161"/>
      <c r="G161"/>
      <c r="H161"/>
    </row>
    <row r="162" spans="6:8" x14ac:dyDescent="0.25">
      <c r="F162"/>
      <c r="G162"/>
      <c r="H162"/>
    </row>
    <row r="163" spans="6:8" x14ac:dyDescent="0.25">
      <c r="F163"/>
      <c r="G163"/>
      <c r="H163"/>
    </row>
    <row r="164" spans="6:8" x14ac:dyDescent="0.25">
      <c r="F164"/>
      <c r="G164"/>
      <c r="H164"/>
    </row>
    <row r="165" spans="6:8" x14ac:dyDescent="0.25">
      <c r="F165"/>
      <c r="G165"/>
      <c r="H165"/>
    </row>
    <row r="166" spans="6:8" x14ac:dyDescent="0.25">
      <c r="F166"/>
      <c r="G166"/>
      <c r="H166"/>
    </row>
    <row r="167" spans="6:8" x14ac:dyDescent="0.25">
      <c r="F167"/>
      <c r="G167"/>
      <c r="H167"/>
    </row>
    <row r="168" spans="6:8" x14ac:dyDescent="0.25">
      <c r="F168"/>
      <c r="G168"/>
      <c r="H168"/>
    </row>
    <row r="169" spans="6:8" x14ac:dyDescent="0.25">
      <c r="F169"/>
      <c r="G169"/>
      <c r="H169"/>
    </row>
    <row r="170" spans="6:8" x14ac:dyDescent="0.25">
      <c r="F170"/>
      <c r="G170"/>
      <c r="H170"/>
    </row>
    <row r="171" spans="6:8" x14ac:dyDescent="0.25">
      <c r="F171"/>
      <c r="G171"/>
      <c r="H171"/>
    </row>
    <row r="172" spans="6:8" x14ac:dyDescent="0.25">
      <c r="F172"/>
      <c r="G172"/>
      <c r="H172"/>
    </row>
    <row r="173" spans="6:8" x14ac:dyDescent="0.25">
      <c r="F173"/>
      <c r="G173"/>
      <c r="H173"/>
    </row>
    <row r="174" spans="6:8" x14ac:dyDescent="0.25">
      <c r="F174"/>
      <c r="G174"/>
      <c r="H174"/>
    </row>
    <row r="175" spans="6:8" x14ac:dyDescent="0.25">
      <c r="F175"/>
      <c r="G175"/>
      <c r="H175"/>
    </row>
    <row r="176" spans="6:8" x14ac:dyDescent="0.25">
      <c r="F176"/>
      <c r="G176"/>
      <c r="H176"/>
    </row>
    <row r="177" spans="6:8" x14ac:dyDescent="0.25">
      <c r="F177"/>
      <c r="G177"/>
      <c r="H177"/>
    </row>
    <row r="178" spans="6:8" x14ac:dyDescent="0.25">
      <c r="F178"/>
      <c r="G178"/>
      <c r="H178"/>
    </row>
    <row r="179" spans="6:8" x14ac:dyDescent="0.25">
      <c r="F179"/>
      <c r="G179"/>
      <c r="H179"/>
    </row>
    <row r="180" spans="6:8" x14ac:dyDescent="0.25">
      <c r="F180"/>
      <c r="G180"/>
      <c r="H180"/>
    </row>
    <row r="181" spans="6:8" x14ac:dyDescent="0.25">
      <c r="F181"/>
      <c r="G181"/>
      <c r="H181"/>
    </row>
    <row r="182" spans="6:8" x14ac:dyDescent="0.25">
      <c r="F182"/>
      <c r="G182"/>
      <c r="H182"/>
    </row>
    <row r="183" spans="6:8" x14ac:dyDescent="0.25">
      <c r="F183"/>
      <c r="G183"/>
      <c r="H183"/>
    </row>
    <row r="184" spans="6:8" x14ac:dyDescent="0.25">
      <c r="F184"/>
      <c r="G184"/>
      <c r="H184"/>
    </row>
    <row r="185" spans="6:8" x14ac:dyDescent="0.25">
      <c r="F185"/>
      <c r="G185"/>
      <c r="H185"/>
    </row>
    <row r="186" spans="6:8" x14ac:dyDescent="0.25">
      <c r="F186"/>
      <c r="G186"/>
      <c r="H186"/>
    </row>
    <row r="187" spans="6:8" x14ac:dyDescent="0.25">
      <c r="F187"/>
      <c r="G187"/>
      <c r="H187"/>
    </row>
    <row r="188" spans="6:8" x14ac:dyDescent="0.25">
      <c r="F188"/>
      <c r="G188"/>
      <c r="H188"/>
    </row>
    <row r="189" spans="6:8" x14ac:dyDescent="0.25">
      <c r="F189"/>
      <c r="G189"/>
      <c r="H189"/>
    </row>
    <row r="190" spans="6:8" x14ac:dyDescent="0.25">
      <c r="F190"/>
      <c r="G190"/>
      <c r="H190"/>
    </row>
    <row r="191" spans="6:8" x14ac:dyDescent="0.25">
      <c r="F191"/>
      <c r="G191"/>
      <c r="H191"/>
    </row>
    <row r="192" spans="6:8" x14ac:dyDescent="0.25">
      <c r="F192"/>
      <c r="G192"/>
      <c r="H192"/>
    </row>
    <row r="193" spans="6:8" x14ac:dyDescent="0.25">
      <c r="F193"/>
      <c r="G193"/>
      <c r="H193"/>
    </row>
    <row r="194" spans="6:8" x14ac:dyDescent="0.25">
      <c r="F194"/>
      <c r="G194"/>
      <c r="H194"/>
    </row>
    <row r="195" spans="6:8" x14ac:dyDescent="0.25">
      <c r="F195"/>
      <c r="G195"/>
      <c r="H195"/>
    </row>
    <row r="196" spans="6:8" x14ac:dyDescent="0.25">
      <c r="F196"/>
      <c r="G196"/>
      <c r="H196"/>
    </row>
    <row r="197" spans="6:8" x14ac:dyDescent="0.25">
      <c r="F197"/>
      <c r="G197"/>
      <c r="H197"/>
    </row>
    <row r="198" spans="6:8" x14ac:dyDescent="0.25">
      <c r="F198"/>
      <c r="G198"/>
      <c r="H198"/>
    </row>
    <row r="199" spans="6:8" x14ac:dyDescent="0.25">
      <c r="F199"/>
      <c r="G199"/>
      <c r="H199"/>
    </row>
    <row r="200" spans="6:8" x14ac:dyDescent="0.25">
      <c r="F200"/>
      <c r="G200"/>
      <c r="H200"/>
    </row>
    <row r="201" spans="6:8" x14ac:dyDescent="0.25">
      <c r="F201"/>
      <c r="G201"/>
      <c r="H201"/>
    </row>
    <row r="202" spans="6:8" x14ac:dyDescent="0.25">
      <c r="F202"/>
      <c r="G202"/>
      <c r="H202"/>
    </row>
    <row r="203" spans="6:8" x14ac:dyDescent="0.25">
      <c r="F203"/>
      <c r="G203"/>
      <c r="H203"/>
    </row>
    <row r="204" spans="6:8" x14ac:dyDescent="0.25">
      <c r="F204"/>
      <c r="G204"/>
      <c r="H204"/>
    </row>
    <row r="205" spans="6:8" x14ac:dyDescent="0.25">
      <c r="F205"/>
      <c r="G205"/>
      <c r="H205"/>
    </row>
    <row r="206" spans="6:8" x14ac:dyDescent="0.25">
      <c r="F206"/>
      <c r="G206"/>
      <c r="H206"/>
    </row>
    <row r="207" spans="6:8" x14ac:dyDescent="0.25">
      <c r="F207"/>
      <c r="G207"/>
      <c r="H207"/>
    </row>
    <row r="208" spans="6:8" x14ac:dyDescent="0.25">
      <c r="F208"/>
      <c r="G208"/>
      <c r="H208"/>
    </row>
    <row r="209" spans="6:8" x14ac:dyDescent="0.25">
      <c r="F209"/>
      <c r="G209"/>
      <c r="H209"/>
    </row>
    <row r="210" spans="6:8" x14ac:dyDescent="0.25">
      <c r="F210"/>
      <c r="G210"/>
      <c r="H210"/>
    </row>
    <row r="211" spans="6:8" x14ac:dyDescent="0.25">
      <c r="F211"/>
      <c r="G211"/>
      <c r="H211"/>
    </row>
    <row r="212" spans="6:8" x14ac:dyDescent="0.25">
      <c r="F212"/>
      <c r="G212"/>
      <c r="H212"/>
    </row>
    <row r="213" spans="6:8" x14ac:dyDescent="0.25">
      <c r="F213"/>
      <c r="G213"/>
      <c r="H213"/>
    </row>
    <row r="214" spans="6:8" x14ac:dyDescent="0.25">
      <c r="F214"/>
      <c r="G214"/>
      <c r="H214"/>
    </row>
    <row r="215" spans="6:8" x14ac:dyDescent="0.25">
      <c r="F215"/>
      <c r="G215"/>
      <c r="H215"/>
    </row>
    <row r="216" spans="6:8" x14ac:dyDescent="0.25">
      <c r="F216"/>
      <c r="G216"/>
      <c r="H216"/>
    </row>
    <row r="217" spans="6:8" x14ac:dyDescent="0.25">
      <c r="F217"/>
      <c r="G217"/>
      <c r="H217"/>
    </row>
    <row r="218" spans="6:8" x14ac:dyDescent="0.25">
      <c r="F218"/>
      <c r="G218"/>
      <c r="H218"/>
    </row>
    <row r="219" spans="6:8" x14ac:dyDescent="0.25">
      <c r="F219"/>
      <c r="G219"/>
      <c r="H219"/>
    </row>
    <row r="220" spans="6:8" x14ac:dyDescent="0.25">
      <c r="F220"/>
      <c r="G220"/>
      <c r="H220"/>
    </row>
    <row r="221" spans="6:8" x14ac:dyDescent="0.25">
      <c r="F221"/>
      <c r="G221"/>
      <c r="H221"/>
    </row>
    <row r="222" spans="6:8" x14ac:dyDescent="0.25">
      <c r="F222"/>
      <c r="G222"/>
      <c r="H222"/>
    </row>
    <row r="223" spans="6:8" x14ac:dyDescent="0.25">
      <c r="F223"/>
      <c r="G223"/>
      <c r="H223"/>
    </row>
    <row r="224" spans="6:8" x14ac:dyDescent="0.25">
      <c r="F224"/>
      <c r="G224"/>
      <c r="H224"/>
    </row>
    <row r="225" spans="6:8" x14ac:dyDescent="0.25">
      <c r="F225"/>
      <c r="G225"/>
      <c r="H225"/>
    </row>
    <row r="226" spans="6:8" x14ac:dyDescent="0.25">
      <c r="G226"/>
      <c r="H226"/>
    </row>
  </sheetData>
  <mergeCells count="1">
    <mergeCell ref="B1:G1"/>
  </mergeCells>
  <pageMargins left="0.511811024" right="0.511811024" top="0.78740157499999996" bottom="0.78740157499999996" header="0.31496062000000002" footer="0.3149606200000000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0D1FD-9800-4807-88C0-80A6F2E6F677}">
  <dimension ref="A1:L228"/>
  <sheetViews>
    <sheetView topLeftCell="A28" zoomScaleNormal="100" workbookViewId="0">
      <selection activeCell="F55" sqref="F55"/>
    </sheetView>
  </sheetViews>
  <sheetFormatPr defaultColWidth="9.140625" defaultRowHeight="15" x14ac:dyDescent="0.25"/>
  <cols>
    <col min="1" max="1" width="29.5703125" style="45" customWidth="1"/>
    <col min="2" max="2" width="45.28515625" style="45" customWidth="1"/>
    <col min="3" max="3" width="29.7109375" style="45" customWidth="1"/>
    <col min="4" max="4" width="21.42578125" style="45" customWidth="1"/>
    <col min="5" max="5" width="17.42578125" style="45" customWidth="1"/>
    <col min="6" max="6" width="16.42578125" style="45" customWidth="1"/>
    <col min="7" max="7" width="17.140625" style="45" customWidth="1"/>
    <col min="8" max="8" width="16.85546875" style="45" bestFit="1" customWidth="1"/>
    <col min="9" max="16384" width="9.140625" style="45"/>
  </cols>
  <sheetData>
    <row r="1" spans="1:8" customFormat="1" ht="21.75" customHeight="1" x14ac:dyDescent="0.25">
      <c r="A1" s="46"/>
      <c r="B1" s="112" t="s">
        <v>0</v>
      </c>
      <c r="C1" s="113"/>
      <c r="D1" s="113"/>
      <c r="E1" s="113"/>
      <c r="F1" s="113"/>
      <c r="G1" s="114"/>
      <c r="H1" s="47"/>
    </row>
    <row r="2" spans="1:8" customFormat="1" ht="30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3"/>
      <c r="F2" s="4" t="s">
        <v>5</v>
      </c>
      <c r="G2" s="5"/>
      <c r="H2" s="6"/>
    </row>
    <row r="3" spans="1:8" customFormat="1" ht="30.6" customHeight="1" x14ac:dyDescent="0.25">
      <c r="A3" s="7">
        <v>1</v>
      </c>
      <c r="B3" s="8" t="s">
        <v>6</v>
      </c>
      <c r="C3" s="8"/>
      <c r="D3" s="9">
        <v>45809</v>
      </c>
      <c r="E3" s="9"/>
      <c r="F3" s="10">
        <f>532.69+550+5000</f>
        <v>6082.6900000000005</v>
      </c>
      <c r="G3" s="5"/>
      <c r="H3" s="6"/>
    </row>
    <row r="4" spans="1:8" customFormat="1" ht="30.6" customHeight="1" x14ac:dyDescent="0.25">
      <c r="A4" s="7">
        <v>2</v>
      </c>
      <c r="B4" s="8" t="s">
        <v>8</v>
      </c>
      <c r="C4" s="8" t="s">
        <v>9</v>
      </c>
      <c r="D4" s="9">
        <v>45809</v>
      </c>
      <c r="E4" s="9"/>
      <c r="F4" s="10">
        <v>39590</v>
      </c>
      <c r="G4" s="5"/>
      <c r="H4" s="11"/>
    </row>
    <row r="5" spans="1:8" customFormat="1" ht="30.6" customHeight="1" x14ac:dyDescent="0.25">
      <c r="A5" s="7">
        <v>3</v>
      </c>
      <c r="B5" s="8" t="s">
        <v>10</v>
      </c>
      <c r="C5" s="12" t="s">
        <v>11</v>
      </c>
      <c r="D5" s="9">
        <v>45809</v>
      </c>
      <c r="E5" s="9"/>
      <c r="F5" s="10">
        <v>39510.6</v>
      </c>
      <c r="G5" s="5"/>
      <c r="H5" s="11"/>
    </row>
    <row r="6" spans="1:8" customFormat="1" ht="30.6" customHeight="1" x14ac:dyDescent="0.25">
      <c r="A6" s="7">
        <v>4</v>
      </c>
      <c r="B6" s="8" t="s">
        <v>12</v>
      </c>
      <c r="C6" s="8"/>
      <c r="D6" s="9">
        <v>45809</v>
      </c>
      <c r="E6" s="9"/>
      <c r="F6" s="10">
        <v>402.68</v>
      </c>
      <c r="G6" s="5"/>
      <c r="H6" s="6"/>
    </row>
    <row r="7" spans="1:8" customFormat="1" ht="30.6" customHeight="1" x14ac:dyDescent="0.25">
      <c r="A7" s="7">
        <v>5</v>
      </c>
      <c r="B7" s="8" t="s">
        <v>13</v>
      </c>
      <c r="C7" s="8" t="s">
        <v>14</v>
      </c>
      <c r="D7" s="9">
        <v>45809</v>
      </c>
      <c r="E7" s="9"/>
      <c r="F7" s="13">
        <v>1518</v>
      </c>
      <c r="G7" s="5"/>
      <c r="H7" s="6"/>
    </row>
    <row r="8" spans="1:8" customFormat="1" ht="30.6" customHeight="1" x14ac:dyDescent="0.25">
      <c r="A8" s="7">
        <v>6</v>
      </c>
      <c r="B8" s="8" t="s">
        <v>15</v>
      </c>
      <c r="C8" s="8" t="s">
        <v>16</v>
      </c>
      <c r="D8" s="9">
        <v>45809</v>
      </c>
      <c r="E8" s="9"/>
      <c r="F8" s="13">
        <v>2500</v>
      </c>
      <c r="G8" s="5"/>
      <c r="H8" s="6"/>
    </row>
    <row r="9" spans="1:8" customFormat="1" ht="34.5" customHeight="1" x14ac:dyDescent="0.25">
      <c r="A9" s="7">
        <v>7</v>
      </c>
      <c r="B9" s="14" t="s">
        <v>17</v>
      </c>
      <c r="C9" s="12" t="s">
        <v>18</v>
      </c>
      <c r="D9" s="9">
        <v>45809</v>
      </c>
      <c r="E9" s="9"/>
      <c r="F9" s="13">
        <v>880</v>
      </c>
      <c r="G9" s="5"/>
      <c r="H9" s="6"/>
    </row>
    <row r="10" spans="1:8" customFormat="1" ht="30.6" customHeight="1" x14ac:dyDescent="0.25">
      <c r="A10" s="7">
        <v>8</v>
      </c>
      <c r="B10" s="14" t="s">
        <v>19</v>
      </c>
      <c r="C10" s="14" t="s">
        <v>20</v>
      </c>
      <c r="D10" s="9">
        <v>45809</v>
      </c>
      <c r="E10" s="9"/>
      <c r="F10" s="13">
        <v>82.34</v>
      </c>
      <c r="G10" s="5"/>
      <c r="H10" s="6"/>
    </row>
    <row r="11" spans="1:8" customFormat="1" ht="30.6" customHeight="1" x14ac:dyDescent="0.25">
      <c r="A11" s="7">
        <v>9</v>
      </c>
      <c r="B11" s="14" t="s">
        <v>149</v>
      </c>
      <c r="C11" s="14" t="s">
        <v>150</v>
      </c>
      <c r="D11" s="9">
        <v>45809</v>
      </c>
      <c r="E11" s="9"/>
      <c r="F11" s="13">
        <v>149.9</v>
      </c>
      <c r="G11" s="5"/>
      <c r="H11" s="6"/>
    </row>
    <row r="12" spans="1:8" customFormat="1" ht="30.6" customHeight="1" x14ac:dyDescent="0.25">
      <c r="A12" s="7">
        <v>10</v>
      </c>
      <c r="B12" s="14" t="s">
        <v>21</v>
      </c>
      <c r="C12" s="12" t="s">
        <v>22</v>
      </c>
      <c r="D12" s="9">
        <v>45809</v>
      </c>
      <c r="E12" s="9"/>
      <c r="F12" s="13">
        <v>308</v>
      </c>
      <c r="G12" s="5"/>
      <c r="H12" s="15"/>
    </row>
    <row r="13" spans="1:8" customFormat="1" ht="30.6" customHeight="1" x14ac:dyDescent="0.25">
      <c r="A13" s="7">
        <v>11</v>
      </c>
      <c r="B13" s="14" t="s">
        <v>23</v>
      </c>
      <c r="C13" s="8"/>
      <c r="D13" s="9">
        <v>45809</v>
      </c>
      <c r="E13" s="9"/>
      <c r="F13" s="13">
        <v>40</v>
      </c>
      <c r="G13" s="5"/>
      <c r="H13" s="6"/>
    </row>
    <row r="14" spans="1:8" customFormat="1" ht="31.5" customHeight="1" x14ac:dyDescent="0.25">
      <c r="A14" s="7">
        <v>12</v>
      </c>
      <c r="B14" s="14" t="s">
        <v>24</v>
      </c>
      <c r="C14" s="12" t="s">
        <v>25</v>
      </c>
      <c r="D14" s="9">
        <v>45809</v>
      </c>
      <c r="E14" s="9"/>
      <c r="F14" s="13">
        <v>478.9</v>
      </c>
      <c r="G14" s="5"/>
      <c r="H14" s="6"/>
    </row>
    <row r="15" spans="1:8" customFormat="1" ht="36.75" customHeight="1" x14ac:dyDescent="0.25">
      <c r="A15" s="7">
        <v>13</v>
      </c>
      <c r="B15" s="14" t="s">
        <v>157</v>
      </c>
      <c r="C15" s="12" t="s">
        <v>158</v>
      </c>
      <c r="D15" s="9">
        <v>45809</v>
      </c>
      <c r="E15" s="9"/>
      <c r="F15" s="13">
        <v>89.46</v>
      </c>
      <c r="G15" s="5"/>
      <c r="H15" s="6"/>
    </row>
    <row r="16" spans="1:8" customFormat="1" ht="42" customHeight="1" x14ac:dyDescent="0.25">
      <c r="A16" s="48"/>
      <c r="B16" s="49" t="s">
        <v>31</v>
      </c>
      <c r="C16" s="50"/>
      <c r="D16" s="51"/>
      <c r="E16" s="52"/>
      <c r="F16" s="53">
        <f>SUM(F3:F15)</f>
        <v>91632.569999999992</v>
      </c>
      <c r="G16" s="54"/>
      <c r="H16" s="55"/>
    </row>
    <row r="17" spans="1:12" customFormat="1" ht="21.75" customHeight="1" x14ac:dyDescent="0.25">
      <c r="A17" s="16" t="s">
        <v>32</v>
      </c>
      <c r="B17" s="17" t="s">
        <v>33</v>
      </c>
      <c r="C17" s="18" t="s">
        <v>34</v>
      </c>
      <c r="D17" s="16" t="s">
        <v>35</v>
      </c>
      <c r="E17" s="16" t="s">
        <v>36</v>
      </c>
      <c r="F17" s="16" t="s">
        <v>37</v>
      </c>
      <c r="G17" s="19" t="s">
        <v>38</v>
      </c>
      <c r="H17" s="18" t="s">
        <v>39</v>
      </c>
    </row>
    <row r="18" spans="1:12" s="72" customFormat="1" ht="15" customHeight="1" x14ac:dyDescent="0.25">
      <c r="A18" s="65" t="s">
        <v>40</v>
      </c>
      <c r="B18" s="66" t="s">
        <v>41</v>
      </c>
      <c r="C18" s="67" t="s">
        <v>42</v>
      </c>
      <c r="D18" s="68">
        <v>4016</v>
      </c>
      <c r="E18" s="69">
        <f>D18/$D$62</f>
        <v>1.2610517083325563E-2</v>
      </c>
      <c r="F18" s="70">
        <f>$F$16*E18</f>
        <v>1155.5340893740254</v>
      </c>
      <c r="G18" s="71">
        <f>F18*5%</f>
        <v>57.776704468701269</v>
      </c>
      <c r="H18" s="71">
        <f t="shared" ref="H18:H61" si="0">F18+G18</f>
        <v>1213.3107938427265</v>
      </c>
    </row>
    <row r="19" spans="1:12" s="74" customFormat="1" x14ac:dyDescent="0.25">
      <c r="A19" s="65" t="s">
        <v>43</v>
      </c>
      <c r="B19" s="73" t="s">
        <v>44</v>
      </c>
      <c r="C19" s="67">
        <v>18778225000139</v>
      </c>
      <c r="D19" s="68">
        <v>8711.2199999999993</v>
      </c>
      <c r="E19" s="69">
        <f t="shared" ref="E19:E61" si="1">D19/$D$62</f>
        <v>2.7353831829334489E-2</v>
      </c>
      <c r="F19" s="70">
        <f t="shared" ref="F19:F61" si="2">$F$16*E19</f>
        <v>2506.5019098697203</v>
      </c>
      <c r="G19" s="71">
        <f t="shared" ref="G19:G61" si="3">F19*5%</f>
        <v>125.32509549348602</v>
      </c>
      <c r="H19" s="71">
        <f t="shared" si="0"/>
        <v>2631.8270053632064</v>
      </c>
    </row>
    <row r="20" spans="1:12" s="74" customFormat="1" x14ac:dyDescent="0.25">
      <c r="A20" s="65" t="s">
        <v>45</v>
      </c>
      <c r="B20" s="73" t="s">
        <v>46</v>
      </c>
      <c r="C20" s="67">
        <v>41993875000119</v>
      </c>
      <c r="D20" s="68">
        <v>3641.8</v>
      </c>
      <c r="E20" s="69">
        <f t="shared" si="1"/>
        <v>1.1435503265451952E-2</v>
      </c>
      <c r="F20" s="70">
        <f t="shared" si="2"/>
        <v>1047.8645534567545</v>
      </c>
      <c r="G20" s="71">
        <f t="shared" si="3"/>
        <v>52.393227672837725</v>
      </c>
      <c r="H20" s="71">
        <f t="shared" si="0"/>
        <v>1100.2577811295923</v>
      </c>
    </row>
    <row r="21" spans="1:12" s="74" customFormat="1" x14ac:dyDescent="0.25">
      <c r="A21" s="65" t="s">
        <v>47</v>
      </c>
      <c r="B21" s="66" t="s">
        <v>48</v>
      </c>
      <c r="C21" s="67">
        <v>24781302000102</v>
      </c>
      <c r="D21" s="68">
        <v>3430</v>
      </c>
      <c r="E21" s="69">
        <f t="shared" si="1"/>
        <v>1.0770436652342301E-2</v>
      </c>
      <c r="F21" s="70">
        <f t="shared" si="2"/>
        <v>986.92279047632155</v>
      </c>
      <c r="G21" s="71">
        <f t="shared" si="3"/>
        <v>49.346139523816078</v>
      </c>
      <c r="H21" s="71">
        <f t="shared" si="0"/>
        <v>1036.2689300001375</v>
      </c>
    </row>
    <row r="22" spans="1:12" customFormat="1" x14ac:dyDescent="0.25">
      <c r="A22" s="20" t="s">
        <v>161</v>
      </c>
      <c r="B22" s="66" t="s">
        <v>162</v>
      </c>
      <c r="C22" s="22" t="s">
        <v>163</v>
      </c>
      <c r="D22" s="23">
        <v>9403</v>
      </c>
      <c r="E22" s="69">
        <f t="shared" si="1"/>
        <v>2.9526068758593194E-2</v>
      </c>
      <c r="F22" s="70">
        <f t="shared" si="2"/>
        <v>2705.5495623466036</v>
      </c>
      <c r="G22" s="26">
        <f t="shared" si="3"/>
        <v>135.27747811733019</v>
      </c>
      <c r="H22" s="26">
        <f t="shared" si="0"/>
        <v>2840.8270404639338</v>
      </c>
    </row>
    <row r="23" spans="1:12" s="74" customFormat="1" x14ac:dyDescent="0.25">
      <c r="A23" s="65" t="s">
        <v>49</v>
      </c>
      <c r="B23" s="66" t="s">
        <v>50</v>
      </c>
      <c r="C23" s="67">
        <v>38649716000197</v>
      </c>
      <c r="D23" s="68">
        <v>3440</v>
      </c>
      <c r="E23" s="69">
        <f t="shared" si="1"/>
        <v>1.0801837342290821E-2</v>
      </c>
      <c r="F23" s="70">
        <f t="shared" si="2"/>
        <v>989.80011639607744</v>
      </c>
      <c r="G23" s="71">
        <f t="shared" si="3"/>
        <v>49.490005819803876</v>
      </c>
      <c r="H23" s="71">
        <f t="shared" si="0"/>
        <v>1039.2901222158814</v>
      </c>
    </row>
    <row r="24" spans="1:12" s="74" customFormat="1" x14ac:dyDescent="0.25">
      <c r="A24" s="65" t="s">
        <v>51</v>
      </c>
      <c r="B24" s="66" t="s">
        <v>52</v>
      </c>
      <c r="C24" s="67" t="s">
        <v>53</v>
      </c>
      <c r="D24" s="68">
        <v>4056</v>
      </c>
      <c r="E24" s="69">
        <f t="shared" si="1"/>
        <v>1.2736119843119642E-2</v>
      </c>
      <c r="F24" s="70">
        <f t="shared" si="2"/>
        <v>1167.0433930530496</v>
      </c>
      <c r="G24" s="71">
        <f t="shared" si="3"/>
        <v>58.352169652652485</v>
      </c>
      <c r="H24" s="71">
        <f t="shared" si="0"/>
        <v>1225.3955627057021</v>
      </c>
    </row>
    <row r="25" spans="1:12" s="74" customFormat="1" x14ac:dyDescent="0.25">
      <c r="A25" s="65" t="s">
        <v>54</v>
      </c>
      <c r="B25" s="66" t="s">
        <v>55</v>
      </c>
      <c r="C25" s="67" t="s">
        <v>56</v>
      </c>
      <c r="D25" s="68">
        <v>11580</v>
      </c>
      <c r="E25" s="69">
        <f t="shared" si="1"/>
        <v>3.6361998960385958E-2</v>
      </c>
      <c r="F25" s="70">
        <f t="shared" si="2"/>
        <v>3331.9434150774932</v>
      </c>
      <c r="G25" s="71">
        <f t="shared" si="3"/>
        <v>166.59717075387468</v>
      </c>
      <c r="H25" s="71">
        <f t="shared" si="0"/>
        <v>3498.5405858313679</v>
      </c>
    </row>
    <row r="26" spans="1:12" s="74" customFormat="1" x14ac:dyDescent="0.25">
      <c r="A26" s="65" t="s">
        <v>57</v>
      </c>
      <c r="B26" s="66" t="s">
        <v>58</v>
      </c>
      <c r="C26" s="67" t="s">
        <v>59</v>
      </c>
      <c r="D26" s="68">
        <f>360+360+1510</f>
        <v>2230</v>
      </c>
      <c r="E26" s="69">
        <f t="shared" si="1"/>
        <v>7.002353858519922E-3</v>
      </c>
      <c r="F26" s="70">
        <f t="shared" si="2"/>
        <v>641.64368010559679</v>
      </c>
      <c r="G26" s="71">
        <f t="shared" si="3"/>
        <v>32.082184005279842</v>
      </c>
      <c r="H26" s="71">
        <f t="shared" si="0"/>
        <v>673.72586411087661</v>
      </c>
    </row>
    <row r="27" spans="1:12" s="79" customFormat="1" ht="15.75" customHeight="1" x14ac:dyDescent="0.25">
      <c r="A27" s="65" t="s">
        <v>60</v>
      </c>
      <c r="B27" s="75" t="s">
        <v>61</v>
      </c>
      <c r="C27" s="76" t="s">
        <v>62</v>
      </c>
      <c r="D27" s="68">
        <f>5224+3930</f>
        <v>9154</v>
      </c>
      <c r="E27" s="69">
        <f t="shared" si="1"/>
        <v>2.8744191578875051E-2</v>
      </c>
      <c r="F27" s="70">
        <f t="shared" si="2"/>
        <v>2633.9041469446784</v>
      </c>
      <c r="G27" s="71">
        <f t="shared" si="3"/>
        <v>131.69520734723392</v>
      </c>
      <c r="H27" s="77">
        <f t="shared" si="0"/>
        <v>2765.5993542919123</v>
      </c>
      <c r="I27" s="78" t="s">
        <v>63</v>
      </c>
      <c r="L27" s="79" t="s">
        <v>64</v>
      </c>
    </row>
    <row r="28" spans="1:12" s="74" customFormat="1" ht="15.75" customHeight="1" x14ac:dyDescent="0.25">
      <c r="A28" s="65" t="s">
        <v>65</v>
      </c>
      <c r="B28" s="73" t="s">
        <v>66</v>
      </c>
      <c r="C28" s="67" t="s">
        <v>67</v>
      </c>
      <c r="D28" s="68">
        <v>2610</v>
      </c>
      <c r="E28" s="69">
        <f t="shared" si="1"/>
        <v>8.1955800765636747E-3</v>
      </c>
      <c r="F28" s="70">
        <f t="shared" si="2"/>
        <v>750.98206505632618</v>
      </c>
      <c r="G28" s="71">
        <f t="shared" si="3"/>
        <v>37.549103252816309</v>
      </c>
      <c r="H28" s="71">
        <f t="shared" si="0"/>
        <v>788.53116830914246</v>
      </c>
    </row>
    <row r="29" spans="1:12" s="74" customFormat="1" ht="15.75" customHeight="1" x14ac:dyDescent="0.25">
      <c r="A29" s="65" t="s">
        <v>68</v>
      </c>
      <c r="B29" s="73" t="s">
        <v>69</v>
      </c>
      <c r="C29" s="67" t="s">
        <v>70</v>
      </c>
      <c r="D29" s="68">
        <v>5515</v>
      </c>
      <c r="E29" s="69">
        <f t="shared" si="1"/>
        <v>1.7317480506608685E-2</v>
      </c>
      <c r="F29" s="70">
        <f t="shared" si="2"/>
        <v>1586.8452447454556</v>
      </c>
      <c r="G29" s="71">
        <f t="shared" si="3"/>
        <v>79.342262237272791</v>
      </c>
      <c r="H29" s="71">
        <f t="shared" si="0"/>
        <v>1666.1875069827283</v>
      </c>
    </row>
    <row r="30" spans="1:12" s="74" customFormat="1" ht="15.75" customHeight="1" x14ac:dyDescent="0.25">
      <c r="A30" s="65" t="s">
        <v>71</v>
      </c>
      <c r="B30" s="66" t="s">
        <v>72</v>
      </c>
      <c r="C30" s="67">
        <v>17202383000183</v>
      </c>
      <c r="D30" s="68">
        <v>15332</v>
      </c>
      <c r="E30" s="69">
        <f t="shared" si="1"/>
        <v>4.8143537829070597E-2</v>
      </c>
      <c r="F30" s="70">
        <f t="shared" si="2"/>
        <v>4411.5161001699589</v>
      </c>
      <c r="G30" s="71">
        <f t="shared" si="3"/>
        <v>220.57580500849795</v>
      </c>
      <c r="H30" s="71">
        <f t="shared" si="0"/>
        <v>4632.0919051784567</v>
      </c>
    </row>
    <row r="31" spans="1:12" s="74" customFormat="1" ht="15.75" customHeight="1" x14ac:dyDescent="0.25">
      <c r="A31" s="65" t="s">
        <v>73</v>
      </c>
      <c r="B31" s="66" t="s">
        <v>74</v>
      </c>
      <c r="C31" s="67">
        <v>18183488000103</v>
      </c>
      <c r="D31" s="68">
        <v>7238</v>
      </c>
      <c r="E31" s="69">
        <f t="shared" si="1"/>
        <v>2.272781938473865E-2</v>
      </c>
      <c r="F31" s="70">
        <f t="shared" si="2"/>
        <v>2082.608500719421</v>
      </c>
      <c r="G31" s="71">
        <f t="shared" si="3"/>
        <v>104.13042503597106</v>
      </c>
      <c r="H31" s="71">
        <f t="shared" si="0"/>
        <v>2186.7389257553923</v>
      </c>
    </row>
    <row r="32" spans="1:12" s="74" customFormat="1" x14ac:dyDescent="0.25">
      <c r="A32" s="65" t="s">
        <v>75</v>
      </c>
      <c r="B32" s="66" t="s">
        <v>76</v>
      </c>
      <c r="C32" s="67">
        <v>18244070000150</v>
      </c>
      <c r="D32" s="68">
        <v>5941</v>
      </c>
      <c r="E32" s="69">
        <f t="shared" si="1"/>
        <v>1.8655149898415629E-2</v>
      </c>
      <c r="F32" s="70">
        <f t="shared" si="2"/>
        <v>1709.4193289270629</v>
      </c>
      <c r="G32" s="71">
        <f t="shared" si="3"/>
        <v>85.470966446353145</v>
      </c>
      <c r="H32" s="71">
        <f t="shared" si="0"/>
        <v>1794.8902953734159</v>
      </c>
    </row>
    <row r="33" spans="1:12" s="74" customFormat="1" x14ac:dyDescent="0.25">
      <c r="A33" s="65" t="s">
        <v>77</v>
      </c>
      <c r="B33" s="66" t="s">
        <v>78</v>
      </c>
      <c r="C33" s="67">
        <v>18244039000110</v>
      </c>
      <c r="D33" s="68">
        <v>4460</v>
      </c>
      <c r="E33" s="69">
        <f t="shared" si="1"/>
        <v>1.4004707717039844E-2</v>
      </c>
      <c r="F33" s="70">
        <f t="shared" si="2"/>
        <v>1283.2873602111936</v>
      </c>
      <c r="G33" s="71">
        <f t="shared" si="3"/>
        <v>64.164368010559684</v>
      </c>
      <c r="H33" s="71">
        <f t="shared" si="0"/>
        <v>1347.4517282217532</v>
      </c>
    </row>
    <row r="34" spans="1:12" s="74" customFormat="1" x14ac:dyDescent="0.25">
      <c r="A34" s="65" t="s">
        <v>79</v>
      </c>
      <c r="B34" s="66" t="s">
        <v>153</v>
      </c>
      <c r="C34" s="67" t="s">
        <v>154</v>
      </c>
      <c r="D34" s="68">
        <v>4415</v>
      </c>
      <c r="E34" s="69">
        <f t="shared" si="1"/>
        <v>1.3863404612271504E-2</v>
      </c>
      <c r="F34" s="70">
        <f t="shared" si="2"/>
        <v>1270.3393935722913</v>
      </c>
      <c r="G34" s="71">
        <f t="shared" si="3"/>
        <v>63.516969678614572</v>
      </c>
      <c r="H34" s="71">
        <f t="shared" si="0"/>
        <v>1333.8563632509058</v>
      </c>
    </row>
    <row r="35" spans="1:12" s="74" customFormat="1" x14ac:dyDescent="0.25">
      <c r="A35" s="65" t="s">
        <v>81</v>
      </c>
      <c r="B35" s="66" t="s">
        <v>82</v>
      </c>
      <c r="C35" s="67" t="s">
        <v>83</v>
      </c>
      <c r="D35" s="68">
        <v>8673</v>
      </c>
      <c r="E35" s="69">
        <f t="shared" si="1"/>
        <v>2.7233818392351245E-2</v>
      </c>
      <c r="F35" s="70">
        <f t="shared" si="2"/>
        <v>2495.5047702044126</v>
      </c>
      <c r="G35" s="71">
        <f t="shared" si="3"/>
        <v>124.77523851022063</v>
      </c>
      <c r="H35" s="71">
        <f t="shared" si="0"/>
        <v>2620.2800087146334</v>
      </c>
    </row>
    <row r="36" spans="1:12" s="74" customFormat="1" x14ac:dyDescent="0.25">
      <c r="A36" s="65" t="s">
        <v>84</v>
      </c>
      <c r="B36" s="66" t="s">
        <v>155</v>
      </c>
      <c r="C36" s="67" t="s">
        <v>86</v>
      </c>
      <c r="D36" s="68">
        <v>9239</v>
      </c>
      <c r="E36" s="69">
        <f t="shared" si="1"/>
        <v>2.901109744343747E-2</v>
      </c>
      <c r="F36" s="70">
        <f t="shared" si="2"/>
        <v>2658.3614172626048</v>
      </c>
      <c r="G36" s="71">
        <f t="shared" si="3"/>
        <v>132.91807086313025</v>
      </c>
      <c r="H36" s="71">
        <f t="shared" si="0"/>
        <v>2791.279488125735</v>
      </c>
    </row>
    <row r="37" spans="1:12" s="74" customFormat="1" x14ac:dyDescent="0.25">
      <c r="A37" s="65" t="s">
        <v>87</v>
      </c>
      <c r="B37" s="66" t="s">
        <v>88</v>
      </c>
      <c r="C37" s="67" t="s">
        <v>89</v>
      </c>
      <c r="D37" s="68">
        <v>4892</v>
      </c>
      <c r="E37" s="69">
        <f t="shared" si="1"/>
        <v>1.53612175228159E-2</v>
      </c>
      <c r="F37" s="70">
        <f t="shared" si="2"/>
        <v>1407.5878399446544</v>
      </c>
      <c r="G37" s="71">
        <f t="shared" si="3"/>
        <v>70.37939199723273</v>
      </c>
      <c r="H37" s="71">
        <f t="shared" si="0"/>
        <v>1477.9672319418871</v>
      </c>
    </row>
    <row r="38" spans="1:12" s="74" customFormat="1" x14ac:dyDescent="0.25">
      <c r="A38" s="65" t="s">
        <v>90</v>
      </c>
      <c r="B38" s="66" t="s">
        <v>91</v>
      </c>
      <c r="C38" s="67">
        <v>41497649000147</v>
      </c>
      <c r="D38" s="68">
        <v>2526</v>
      </c>
      <c r="E38" s="69">
        <f t="shared" si="1"/>
        <v>7.9318142809961089E-3</v>
      </c>
      <c r="F38" s="70">
        <f t="shared" si="2"/>
        <v>726.81252733037559</v>
      </c>
      <c r="G38" s="71">
        <f t="shared" si="3"/>
        <v>36.340626366518784</v>
      </c>
      <c r="H38" s="71">
        <f t="shared" si="0"/>
        <v>763.15315369689438</v>
      </c>
    </row>
    <row r="39" spans="1:12" s="63" customFormat="1" x14ac:dyDescent="0.25">
      <c r="A39" s="56" t="s">
        <v>145</v>
      </c>
      <c r="B39" s="57" t="s">
        <v>146</v>
      </c>
      <c r="C39" s="58">
        <v>19209989000176</v>
      </c>
      <c r="D39" s="59">
        <v>15365.8</v>
      </c>
      <c r="E39" s="60">
        <f t="shared" si="1"/>
        <v>4.8249672161096595E-2</v>
      </c>
      <c r="F39" s="61">
        <f t="shared" si="2"/>
        <v>4421.2414617787344</v>
      </c>
      <c r="G39" s="62">
        <f t="shared" si="3"/>
        <v>221.06207308893673</v>
      </c>
      <c r="H39" s="62">
        <f>F39+G39</f>
        <v>4642.3035348676713</v>
      </c>
    </row>
    <row r="40" spans="1:12" s="74" customFormat="1" x14ac:dyDescent="0.25">
      <c r="A40" s="65" t="s">
        <v>92</v>
      </c>
      <c r="B40" s="66" t="s">
        <v>93</v>
      </c>
      <c r="C40" s="67">
        <v>40580071000125</v>
      </c>
      <c r="D40" s="68">
        <v>3600</v>
      </c>
      <c r="E40" s="69">
        <f t="shared" si="1"/>
        <v>1.1304248381467139E-2</v>
      </c>
      <c r="F40" s="70">
        <f t="shared" si="2"/>
        <v>1035.8373311121743</v>
      </c>
      <c r="G40" s="71">
        <f t="shared" si="3"/>
        <v>51.791866555608721</v>
      </c>
      <c r="H40" s="71">
        <f t="shared" si="0"/>
        <v>1087.629197667783</v>
      </c>
      <c r="I40" s="78" t="s">
        <v>63</v>
      </c>
      <c r="L40" s="74" t="s">
        <v>94</v>
      </c>
    </row>
    <row r="41" spans="1:12" s="74" customFormat="1" x14ac:dyDescent="0.25">
      <c r="A41" s="65" t="s">
        <v>95</v>
      </c>
      <c r="B41" s="66" t="s">
        <v>96</v>
      </c>
      <c r="C41" s="67" t="s">
        <v>97</v>
      </c>
      <c r="D41" s="68">
        <v>3938</v>
      </c>
      <c r="E41" s="69">
        <f t="shared" si="1"/>
        <v>1.2365591701727109E-2</v>
      </c>
      <c r="F41" s="70">
        <f t="shared" si="2"/>
        <v>1133.0909471999285</v>
      </c>
      <c r="G41" s="71">
        <f t="shared" si="3"/>
        <v>56.654547359996428</v>
      </c>
      <c r="H41" s="71">
        <f t="shared" si="0"/>
        <v>1189.745494559925</v>
      </c>
    </row>
    <row r="42" spans="1:12" s="74" customFormat="1" x14ac:dyDescent="0.25">
      <c r="A42" s="65" t="s">
        <v>98</v>
      </c>
      <c r="B42" s="66" t="s">
        <v>167</v>
      </c>
      <c r="C42" s="67" t="s">
        <v>168</v>
      </c>
      <c r="D42" s="68">
        <v>3707</v>
      </c>
      <c r="E42" s="69">
        <f t="shared" si="1"/>
        <v>1.1640235763916301E-2</v>
      </c>
      <c r="F42" s="70">
        <f t="shared" si="2"/>
        <v>1066.6247184535639</v>
      </c>
      <c r="G42" s="71">
        <f t="shared" si="3"/>
        <v>53.331235922678196</v>
      </c>
      <c r="H42" s="71">
        <f t="shared" si="0"/>
        <v>1119.9559543762421</v>
      </c>
    </row>
    <row r="43" spans="1:12" s="74" customFormat="1" x14ac:dyDescent="0.25">
      <c r="A43" s="65" t="s">
        <v>100</v>
      </c>
      <c r="B43" s="66" t="s">
        <v>101</v>
      </c>
      <c r="C43" s="67">
        <v>42109766000159</v>
      </c>
      <c r="D43" s="68">
        <v>5117</v>
      </c>
      <c r="E43" s="69">
        <f t="shared" si="1"/>
        <v>1.6067733046657595E-2</v>
      </c>
      <c r="F43" s="70">
        <f t="shared" si="2"/>
        <v>1472.3276731391652</v>
      </c>
      <c r="G43" s="71">
        <f t="shared" si="3"/>
        <v>73.616383656958263</v>
      </c>
      <c r="H43" s="71">
        <f t="shared" si="0"/>
        <v>1545.9440567961235</v>
      </c>
    </row>
    <row r="44" spans="1:12" s="74" customFormat="1" x14ac:dyDescent="0.25">
      <c r="A44" s="65" t="s">
        <v>102</v>
      </c>
      <c r="B44" s="66" t="s">
        <v>99</v>
      </c>
      <c r="C44" s="67">
        <v>18788190000119</v>
      </c>
      <c r="D44" s="68">
        <v>14717</v>
      </c>
      <c r="E44" s="69">
        <f t="shared" si="1"/>
        <v>4.6212395397236629E-2</v>
      </c>
      <c r="F44" s="70">
        <f t="shared" si="2"/>
        <v>4234.5605561049624</v>
      </c>
      <c r="G44" s="71">
        <f t="shared" si="3"/>
        <v>211.72802780524813</v>
      </c>
      <c r="H44" s="71">
        <f t="shared" si="0"/>
        <v>4446.2885839102109</v>
      </c>
    </row>
    <row r="45" spans="1:12" s="74" customFormat="1" ht="13.5" customHeight="1" x14ac:dyDescent="0.25">
      <c r="A45" s="65" t="s">
        <v>103</v>
      </c>
      <c r="B45" s="66" t="s">
        <v>104</v>
      </c>
      <c r="C45" s="67">
        <v>32302613000170</v>
      </c>
      <c r="D45" s="68">
        <v>5439</v>
      </c>
      <c r="E45" s="69">
        <f t="shared" si="1"/>
        <v>1.7078835262999935E-2</v>
      </c>
      <c r="F45" s="70">
        <f t="shared" si="2"/>
        <v>1564.9775677553098</v>
      </c>
      <c r="G45" s="71">
        <f t="shared" si="3"/>
        <v>78.248878387765501</v>
      </c>
      <c r="H45" s="71">
        <f t="shared" si="0"/>
        <v>1643.2264461430752</v>
      </c>
    </row>
    <row r="46" spans="1:12" s="74" customFormat="1" x14ac:dyDescent="0.25">
      <c r="A46" s="65" t="s">
        <v>105</v>
      </c>
      <c r="B46" s="66" t="s">
        <v>106</v>
      </c>
      <c r="C46" s="67">
        <v>28616552000148</v>
      </c>
      <c r="D46" s="68">
        <v>4123.71</v>
      </c>
      <c r="E46" s="69">
        <f t="shared" si="1"/>
        <v>1.2948733914761069E-2</v>
      </c>
      <c r="F46" s="70">
        <f t="shared" si="2"/>
        <v>1186.5257668557176</v>
      </c>
      <c r="G46" s="71">
        <f t="shared" si="3"/>
        <v>59.326288342785887</v>
      </c>
      <c r="H46" s="71">
        <f t="shared" si="0"/>
        <v>1245.8520551985034</v>
      </c>
    </row>
    <row r="47" spans="1:12" s="74" customFormat="1" x14ac:dyDescent="0.25">
      <c r="A47" s="65" t="s">
        <v>107</v>
      </c>
      <c r="B47" s="66" t="s">
        <v>108</v>
      </c>
      <c r="C47" s="67">
        <v>42579914000107</v>
      </c>
      <c r="D47" s="68">
        <v>4986.3599999999997</v>
      </c>
      <c r="E47" s="69">
        <f t="shared" si="1"/>
        <v>1.5657514433170133E-2</v>
      </c>
      <c r="F47" s="70">
        <f t="shared" si="2"/>
        <v>1434.7382873234724</v>
      </c>
      <c r="G47" s="71">
        <f t="shared" si="3"/>
        <v>71.736914366173622</v>
      </c>
      <c r="H47" s="71">
        <f t="shared" si="0"/>
        <v>1506.4752016896459</v>
      </c>
    </row>
    <row r="48" spans="1:12" s="74" customFormat="1" x14ac:dyDescent="0.25">
      <c r="A48" s="65" t="s">
        <v>109</v>
      </c>
      <c r="B48" s="66" t="s">
        <v>110</v>
      </c>
      <c r="C48" s="67" t="s">
        <v>111</v>
      </c>
      <c r="D48" s="68">
        <v>7462</v>
      </c>
      <c r="E48" s="69">
        <f t="shared" si="1"/>
        <v>2.3431194839585497E-2</v>
      </c>
      <c r="F48" s="70">
        <f t="shared" si="2"/>
        <v>2147.0606013219567</v>
      </c>
      <c r="G48" s="71">
        <f t="shared" si="3"/>
        <v>107.35303006609784</v>
      </c>
      <c r="H48" s="71">
        <f t="shared" si="0"/>
        <v>2254.4136313880545</v>
      </c>
    </row>
    <row r="49" spans="1:8" s="74" customFormat="1" x14ac:dyDescent="0.25">
      <c r="A49" s="65" t="s">
        <v>112</v>
      </c>
      <c r="B49" s="66" t="s">
        <v>113</v>
      </c>
      <c r="C49" s="67" t="s">
        <v>114</v>
      </c>
      <c r="D49" s="68">
        <v>5525</v>
      </c>
      <c r="E49" s="69">
        <f t="shared" si="1"/>
        <v>1.7348881196557205E-2</v>
      </c>
      <c r="F49" s="70">
        <f t="shared" si="2"/>
        <v>1589.7225706652116</v>
      </c>
      <c r="G49" s="71">
        <f t="shared" si="3"/>
        <v>79.486128533260583</v>
      </c>
      <c r="H49" s="71">
        <f t="shared" si="0"/>
        <v>1669.2086991984722</v>
      </c>
    </row>
    <row r="50" spans="1:8" s="74" customFormat="1" x14ac:dyDescent="0.25">
      <c r="A50" s="65" t="s">
        <v>115</v>
      </c>
      <c r="B50" s="66" t="s">
        <v>116</v>
      </c>
      <c r="C50" s="67">
        <v>26480299000112</v>
      </c>
      <c r="D50" s="68"/>
      <c r="E50" s="69">
        <f t="shared" si="1"/>
        <v>0</v>
      </c>
      <c r="F50" s="70">
        <f t="shared" si="2"/>
        <v>0</v>
      </c>
      <c r="G50" s="71">
        <f t="shared" si="3"/>
        <v>0</v>
      </c>
      <c r="H50" s="71">
        <f t="shared" si="0"/>
        <v>0</v>
      </c>
    </row>
    <row r="51" spans="1:8" s="74" customFormat="1" x14ac:dyDescent="0.25">
      <c r="A51" s="65" t="s">
        <v>117</v>
      </c>
      <c r="B51" s="66" t="s">
        <v>118</v>
      </c>
      <c r="C51" s="67" t="s">
        <v>119</v>
      </c>
      <c r="D51" s="68">
        <v>4943</v>
      </c>
      <c r="E51" s="69">
        <f t="shared" si="1"/>
        <v>1.552136104155335E-2</v>
      </c>
      <c r="F51" s="70">
        <f t="shared" si="2"/>
        <v>1422.2622021354102</v>
      </c>
      <c r="G51" s="71">
        <f t="shared" si="3"/>
        <v>71.11311010677052</v>
      </c>
      <c r="H51" s="71">
        <f t="shared" si="0"/>
        <v>1493.3753122421808</v>
      </c>
    </row>
    <row r="52" spans="1:8" s="74" customFormat="1" x14ac:dyDescent="0.25">
      <c r="A52" s="65" t="s">
        <v>120</v>
      </c>
      <c r="B52" s="66" t="s">
        <v>121</v>
      </c>
      <c r="C52" s="67">
        <v>12997366000166</v>
      </c>
      <c r="D52" s="68">
        <v>5160</v>
      </c>
      <c r="E52" s="69">
        <f t="shared" si="1"/>
        <v>1.620275601343623E-2</v>
      </c>
      <c r="F52" s="70">
        <f t="shared" si="2"/>
        <v>1484.7001745941161</v>
      </c>
      <c r="G52" s="71">
        <f t="shared" si="3"/>
        <v>74.235008729705811</v>
      </c>
      <c r="H52" s="71">
        <f t="shared" si="0"/>
        <v>1558.935183323822</v>
      </c>
    </row>
    <row r="53" spans="1:8" s="74" customFormat="1" ht="16.5" customHeight="1" x14ac:dyDescent="0.25">
      <c r="A53" s="65" t="s">
        <v>122</v>
      </c>
      <c r="B53" s="66" t="s">
        <v>123</v>
      </c>
      <c r="C53" s="67" t="s">
        <v>124</v>
      </c>
      <c r="D53" s="68">
        <v>6586</v>
      </c>
      <c r="E53" s="69">
        <f t="shared" si="1"/>
        <v>2.0680494400095159E-2</v>
      </c>
      <c r="F53" s="70">
        <f t="shared" si="2"/>
        <v>1895.0068507513274</v>
      </c>
      <c r="G53" s="71">
        <f t="shared" si="3"/>
        <v>94.750342537566382</v>
      </c>
      <c r="H53" s="71">
        <f t="shared" si="0"/>
        <v>1989.7571932888939</v>
      </c>
    </row>
    <row r="54" spans="1:8" customFormat="1" x14ac:dyDescent="0.25">
      <c r="A54" s="20" t="s">
        <v>125</v>
      </c>
      <c r="B54" s="21" t="s">
        <v>126</v>
      </c>
      <c r="C54" s="22">
        <v>11884518000151</v>
      </c>
      <c r="D54" s="23">
        <v>5644</v>
      </c>
      <c r="E54" s="69">
        <f t="shared" si="1"/>
        <v>1.772254940694459E-2</v>
      </c>
      <c r="F54" s="25">
        <f t="shared" si="2"/>
        <v>1623.9627491103086</v>
      </c>
      <c r="G54" s="26">
        <f t="shared" si="3"/>
        <v>81.198137455515436</v>
      </c>
      <c r="H54" s="26">
        <f t="shared" si="0"/>
        <v>1705.1608865658241</v>
      </c>
    </row>
    <row r="55" spans="1:8" s="63" customFormat="1" x14ac:dyDescent="0.25">
      <c r="A55" s="56" t="s">
        <v>147</v>
      </c>
      <c r="B55" s="57" t="s">
        <v>148</v>
      </c>
      <c r="C55" s="58">
        <v>41142377000162</v>
      </c>
      <c r="D55" s="59">
        <v>1134.82</v>
      </c>
      <c r="E55" s="60">
        <f t="shared" si="1"/>
        <v>3.5634130967379268E-3</v>
      </c>
      <c r="F55" s="61">
        <f t="shared" si="2"/>
        <v>326.52470002575484</v>
      </c>
      <c r="G55" s="62">
        <f t="shared" si="3"/>
        <v>16.326235001287742</v>
      </c>
      <c r="H55" s="62">
        <f t="shared" si="0"/>
        <v>342.85093502704257</v>
      </c>
    </row>
    <row r="56" spans="1:8" s="74" customFormat="1" x14ac:dyDescent="0.25">
      <c r="A56" s="65" t="s">
        <v>127</v>
      </c>
      <c r="B56" s="66" t="s">
        <v>128</v>
      </c>
      <c r="C56" s="67">
        <v>36188051000136</v>
      </c>
      <c r="D56" s="68">
        <v>6936</v>
      </c>
      <c r="E56" s="69">
        <f t="shared" si="1"/>
        <v>2.1779518548293353E-2</v>
      </c>
      <c r="F56" s="70">
        <f t="shared" si="2"/>
        <v>1995.7132579427889</v>
      </c>
      <c r="G56" s="71">
        <f t="shared" si="3"/>
        <v>99.785662897139446</v>
      </c>
      <c r="H56" s="71">
        <f t="shared" si="0"/>
        <v>2095.4989208399284</v>
      </c>
    </row>
    <row r="57" spans="1:8" s="74" customFormat="1" x14ac:dyDescent="0.25">
      <c r="A57" s="65" t="s">
        <v>129</v>
      </c>
      <c r="B57" s="66" t="s">
        <v>130</v>
      </c>
      <c r="C57" s="67" t="s">
        <v>131</v>
      </c>
      <c r="D57" s="68">
        <f>7425*40%</f>
        <v>2970</v>
      </c>
      <c r="E57" s="69">
        <f t="shared" si="1"/>
        <v>9.3260049147103896E-3</v>
      </c>
      <c r="F57" s="70">
        <f t="shared" si="2"/>
        <v>854.56579816754379</v>
      </c>
      <c r="G57" s="71">
        <f t="shared" si="3"/>
        <v>42.728289908377192</v>
      </c>
      <c r="H57" s="71">
        <f t="shared" si="0"/>
        <v>897.29408807592097</v>
      </c>
    </row>
    <row r="58" spans="1:8" s="74" customFormat="1" x14ac:dyDescent="0.25">
      <c r="A58" s="65" t="s">
        <v>132</v>
      </c>
      <c r="B58" s="66" t="s">
        <v>133</v>
      </c>
      <c r="C58" s="67">
        <v>18741082000190</v>
      </c>
      <c r="D58" s="68">
        <v>12183</v>
      </c>
      <c r="E58" s="69">
        <f t="shared" si="1"/>
        <v>3.825546056428171E-2</v>
      </c>
      <c r="F58" s="70">
        <f t="shared" si="2"/>
        <v>3505.4461680387831</v>
      </c>
      <c r="G58" s="71">
        <f t="shared" si="3"/>
        <v>175.27230840193917</v>
      </c>
      <c r="H58" s="71">
        <f t="shared" si="0"/>
        <v>3680.718476440722</v>
      </c>
    </row>
    <row r="59" spans="1:8" s="74" customFormat="1" x14ac:dyDescent="0.25">
      <c r="A59" s="65" t="s">
        <v>134</v>
      </c>
      <c r="B59" s="66" t="s">
        <v>135</v>
      </c>
      <c r="C59" s="67" t="s">
        <v>136</v>
      </c>
      <c r="D59" s="68">
        <v>4814</v>
      </c>
      <c r="E59" s="69">
        <f t="shared" si="1"/>
        <v>1.5116292141217446E-2</v>
      </c>
      <c r="F59" s="70">
        <f t="shared" si="2"/>
        <v>1385.1446977705573</v>
      </c>
      <c r="G59" s="71">
        <f t="shared" si="3"/>
        <v>69.257234888527861</v>
      </c>
      <c r="H59" s="71">
        <f t="shared" si="0"/>
        <v>1454.4019326590851</v>
      </c>
    </row>
    <row r="60" spans="1:8" s="74" customFormat="1" x14ac:dyDescent="0.25">
      <c r="A60" s="65" t="s">
        <v>137</v>
      </c>
      <c r="B60" s="66" t="s">
        <v>138</v>
      </c>
      <c r="C60" s="67" t="s">
        <v>139</v>
      </c>
      <c r="D60" s="68">
        <v>3476.86</v>
      </c>
      <c r="E60" s="69">
        <f t="shared" si="1"/>
        <v>1.0917580285441065E-2</v>
      </c>
      <c r="F60" s="70">
        <f t="shared" si="2"/>
        <v>1000.4059397362983</v>
      </c>
      <c r="G60" s="71">
        <f t="shared" si="3"/>
        <v>50.020296986814913</v>
      </c>
      <c r="H60" s="71">
        <f t="shared" si="0"/>
        <v>1050.4262367231131</v>
      </c>
    </row>
    <row r="61" spans="1:8" s="74" customFormat="1" x14ac:dyDescent="0.25">
      <c r="A61" s="65" t="s">
        <v>140</v>
      </c>
      <c r="B61" s="73" t="s">
        <v>141</v>
      </c>
      <c r="C61" s="67">
        <v>11884518000151</v>
      </c>
      <c r="D61" s="68">
        <f>81377.44-14717-3314-9239+11302+4126.33-9403</f>
        <v>60132.770000000004</v>
      </c>
      <c r="E61" s="69">
        <f t="shared" si="1"/>
        <v>0.18882104665156549</v>
      </c>
      <c r="F61" s="70">
        <f t="shared" si="2"/>
        <v>17302.157774772837</v>
      </c>
      <c r="G61" s="71">
        <f t="shared" si="3"/>
        <v>865.10788873864192</v>
      </c>
      <c r="H61" s="71">
        <f t="shared" si="0"/>
        <v>18167.26566351148</v>
      </c>
    </row>
    <row r="62" spans="1:8" customFormat="1" x14ac:dyDescent="0.25">
      <c r="A62" s="34"/>
      <c r="B62" s="35"/>
      <c r="C62" s="36" t="s">
        <v>142</v>
      </c>
      <c r="D62" s="37">
        <f>SUM(D18:D61)</f>
        <v>318464.33999999997</v>
      </c>
      <c r="E62" s="38">
        <f>SUM(E18:E61)</f>
        <v>1</v>
      </c>
      <c r="F62" s="39">
        <f>SUM(F18:F61)</f>
        <v>91632.57</v>
      </c>
      <c r="G62" s="39">
        <f>SUM(G18:G61)</f>
        <v>4581.6284999999989</v>
      </c>
      <c r="H62" s="40">
        <f>SUM(H18:H61)</f>
        <v>96214.198500000028</v>
      </c>
    </row>
    <row r="63" spans="1:8" customFormat="1" x14ac:dyDescent="0.25">
      <c r="F63" s="41"/>
    </row>
    <row r="64" spans="1:8" customFormat="1" x14ac:dyDescent="0.25">
      <c r="F64" s="41"/>
    </row>
    <row r="65" spans="4:8" customFormat="1" x14ac:dyDescent="0.25">
      <c r="D65" s="44"/>
      <c r="E65" s="41"/>
      <c r="H65" s="42"/>
    </row>
    <row r="66" spans="4:8" customFormat="1" x14ac:dyDescent="0.25">
      <c r="E66" s="41"/>
    </row>
    <row r="67" spans="4:8" customFormat="1" x14ac:dyDescent="0.25"/>
    <row r="68" spans="4:8" customFormat="1" x14ac:dyDescent="0.25"/>
    <row r="69" spans="4:8" customFormat="1" x14ac:dyDescent="0.25"/>
    <row r="70" spans="4:8" customFormat="1" x14ac:dyDescent="0.25"/>
    <row r="71" spans="4:8" customFormat="1" x14ac:dyDescent="0.25"/>
    <row r="72" spans="4:8" customFormat="1" x14ac:dyDescent="0.25"/>
    <row r="73" spans="4:8" customFormat="1" x14ac:dyDescent="0.25"/>
    <row r="74" spans="4:8" customFormat="1" x14ac:dyDescent="0.25"/>
    <row r="75" spans="4:8" customFormat="1" x14ac:dyDescent="0.25"/>
    <row r="76" spans="4:8" customFormat="1" x14ac:dyDescent="0.25"/>
    <row r="77" spans="4:8" customFormat="1" x14ac:dyDescent="0.25"/>
    <row r="78" spans="4:8" customFormat="1" x14ac:dyDescent="0.25"/>
    <row r="79" spans="4:8" customFormat="1" x14ac:dyDescent="0.25"/>
    <row r="80" spans="4:8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spans="1:8" customFormat="1" x14ac:dyDescent="0.25"/>
    <row r="146" spans="1:8" customFormat="1" x14ac:dyDescent="0.25">
      <c r="A146" s="45"/>
      <c r="B146" s="45"/>
      <c r="C146" s="45"/>
      <c r="D146" s="45"/>
      <c r="E146" s="45"/>
    </row>
    <row r="147" spans="1:8" x14ac:dyDescent="0.25">
      <c r="F147"/>
      <c r="G147"/>
      <c r="H147"/>
    </row>
    <row r="148" spans="1:8" x14ac:dyDescent="0.25">
      <c r="F148"/>
      <c r="G148"/>
      <c r="H148"/>
    </row>
    <row r="149" spans="1:8" x14ac:dyDescent="0.25">
      <c r="F149"/>
      <c r="G149"/>
      <c r="H149"/>
    </row>
    <row r="150" spans="1:8" x14ac:dyDescent="0.25">
      <c r="F150"/>
      <c r="G150"/>
      <c r="H150"/>
    </row>
    <row r="151" spans="1:8" x14ac:dyDescent="0.25">
      <c r="F151"/>
      <c r="G151"/>
      <c r="H151"/>
    </row>
    <row r="152" spans="1:8" x14ac:dyDescent="0.25">
      <c r="F152"/>
      <c r="G152"/>
      <c r="H152"/>
    </row>
    <row r="153" spans="1:8" x14ac:dyDescent="0.25">
      <c r="F153"/>
      <c r="G153"/>
      <c r="H153"/>
    </row>
    <row r="154" spans="1:8" x14ac:dyDescent="0.25">
      <c r="F154"/>
      <c r="G154"/>
      <c r="H154"/>
    </row>
    <row r="155" spans="1:8" x14ac:dyDescent="0.25">
      <c r="F155"/>
      <c r="G155"/>
      <c r="H155"/>
    </row>
    <row r="156" spans="1:8" x14ac:dyDescent="0.25">
      <c r="F156"/>
      <c r="G156"/>
      <c r="H156"/>
    </row>
    <row r="157" spans="1:8" x14ac:dyDescent="0.25">
      <c r="F157"/>
      <c r="G157"/>
      <c r="H157"/>
    </row>
    <row r="158" spans="1:8" x14ac:dyDescent="0.25">
      <c r="F158"/>
      <c r="G158"/>
      <c r="H158"/>
    </row>
    <row r="159" spans="1:8" x14ac:dyDescent="0.25">
      <c r="F159"/>
      <c r="G159"/>
      <c r="H159"/>
    </row>
    <row r="160" spans="1:8" x14ac:dyDescent="0.25">
      <c r="F160"/>
      <c r="G160"/>
      <c r="H160"/>
    </row>
    <row r="161" spans="6:8" x14ac:dyDescent="0.25">
      <c r="F161"/>
      <c r="G161"/>
      <c r="H161"/>
    </row>
    <row r="162" spans="6:8" x14ac:dyDescent="0.25">
      <c r="F162"/>
      <c r="G162"/>
      <c r="H162"/>
    </row>
    <row r="163" spans="6:8" x14ac:dyDescent="0.25">
      <c r="F163"/>
      <c r="G163"/>
      <c r="H163"/>
    </row>
    <row r="164" spans="6:8" x14ac:dyDescent="0.25">
      <c r="F164"/>
      <c r="G164"/>
      <c r="H164"/>
    </row>
    <row r="165" spans="6:8" x14ac:dyDescent="0.25">
      <c r="F165"/>
      <c r="G165"/>
      <c r="H165"/>
    </row>
    <row r="166" spans="6:8" x14ac:dyDescent="0.25">
      <c r="F166"/>
      <c r="G166"/>
      <c r="H166"/>
    </row>
    <row r="167" spans="6:8" x14ac:dyDescent="0.25">
      <c r="F167"/>
      <c r="G167"/>
      <c r="H167"/>
    </row>
    <row r="168" spans="6:8" x14ac:dyDescent="0.25">
      <c r="F168"/>
      <c r="G168"/>
      <c r="H168"/>
    </row>
    <row r="169" spans="6:8" x14ac:dyDescent="0.25">
      <c r="F169"/>
      <c r="G169"/>
      <c r="H169"/>
    </row>
    <row r="170" spans="6:8" x14ac:dyDescent="0.25">
      <c r="F170"/>
      <c r="G170"/>
      <c r="H170"/>
    </row>
    <row r="171" spans="6:8" x14ac:dyDescent="0.25">
      <c r="F171"/>
      <c r="G171"/>
      <c r="H171"/>
    </row>
    <row r="172" spans="6:8" x14ac:dyDescent="0.25">
      <c r="F172"/>
      <c r="G172"/>
      <c r="H172"/>
    </row>
    <row r="173" spans="6:8" x14ac:dyDescent="0.25">
      <c r="F173"/>
      <c r="G173"/>
      <c r="H173"/>
    </row>
    <row r="174" spans="6:8" x14ac:dyDescent="0.25">
      <c r="F174"/>
      <c r="G174"/>
      <c r="H174"/>
    </row>
    <row r="175" spans="6:8" x14ac:dyDescent="0.25">
      <c r="F175"/>
      <c r="G175"/>
      <c r="H175"/>
    </row>
    <row r="176" spans="6:8" x14ac:dyDescent="0.25">
      <c r="F176"/>
      <c r="G176"/>
      <c r="H176"/>
    </row>
    <row r="177" spans="6:8" x14ac:dyDescent="0.25">
      <c r="F177"/>
      <c r="G177"/>
      <c r="H177"/>
    </row>
    <row r="178" spans="6:8" x14ac:dyDescent="0.25">
      <c r="F178"/>
      <c r="G178"/>
      <c r="H178"/>
    </row>
    <row r="179" spans="6:8" x14ac:dyDescent="0.25">
      <c r="F179"/>
      <c r="G179"/>
      <c r="H179"/>
    </row>
    <row r="180" spans="6:8" x14ac:dyDescent="0.25">
      <c r="F180"/>
      <c r="G180"/>
      <c r="H180"/>
    </row>
    <row r="181" spans="6:8" x14ac:dyDescent="0.25">
      <c r="F181"/>
      <c r="G181"/>
      <c r="H181"/>
    </row>
    <row r="182" spans="6:8" x14ac:dyDescent="0.25">
      <c r="F182"/>
      <c r="G182"/>
      <c r="H182"/>
    </row>
    <row r="183" spans="6:8" x14ac:dyDescent="0.25">
      <c r="F183"/>
      <c r="G183"/>
      <c r="H183"/>
    </row>
    <row r="184" spans="6:8" x14ac:dyDescent="0.25">
      <c r="F184"/>
      <c r="G184"/>
      <c r="H184"/>
    </row>
    <row r="185" spans="6:8" x14ac:dyDescent="0.25">
      <c r="F185"/>
      <c r="G185"/>
      <c r="H185"/>
    </row>
    <row r="186" spans="6:8" x14ac:dyDescent="0.25">
      <c r="F186"/>
      <c r="G186"/>
      <c r="H186"/>
    </row>
    <row r="187" spans="6:8" x14ac:dyDescent="0.25">
      <c r="F187"/>
      <c r="G187"/>
      <c r="H187"/>
    </row>
    <row r="188" spans="6:8" x14ac:dyDescent="0.25">
      <c r="F188"/>
      <c r="G188"/>
      <c r="H188"/>
    </row>
    <row r="189" spans="6:8" x14ac:dyDescent="0.25">
      <c r="F189"/>
      <c r="G189"/>
      <c r="H189"/>
    </row>
    <row r="190" spans="6:8" x14ac:dyDescent="0.25">
      <c r="F190"/>
      <c r="G190"/>
      <c r="H190"/>
    </row>
    <row r="191" spans="6:8" x14ac:dyDescent="0.25">
      <c r="F191"/>
      <c r="G191"/>
      <c r="H191"/>
    </row>
    <row r="192" spans="6:8" x14ac:dyDescent="0.25">
      <c r="F192"/>
      <c r="G192"/>
      <c r="H192"/>
    </row>
    <row r="193" spans="6:8" x14ac:dyDescent="0.25">
      <c r="F193"/>
      <c r="G193"/>
      <c r="H193"/>
    </row>
    <row r="194" spans="6:8" x14ac:dyDescent="0.25">
      <c r="F194"/>
      <c r="G194"/>
      <c r="H194"/>
    </row>
    <row r="195" spans="6:8" x14ac:dyDescent="0.25">
      <c r="F195"/>
      <c r="G195"/>
      <c r="H195"/>
    </row>
    <row r="196" spans="6:8" x14ac:dyDescent="0.25">
      <c r="F196"/>
      <c r="G196"/>
      <c r="H196"/>
    </row>
    <row r="197" spans="6:8" x14ac:dyDescent="0.25">
      <c r="F197"/>
      <c r="G197"/>
      <c r="H197"/>
    </row>
    <row r="198" spans="6:8" x14ac:dyDescent="0.25">
      <c r="F198"/>
      <c r="G198"/>
      <c r="H198"/>
    </row>
    <row r="199" spans="6:8" x14ac:dyDescent="0.25">
      <c r="F199"/>
      <c r="G199"/>
      <c r="H199"/>
    </row>
    <row r="200" spans="6:8" x14ac:dyDescent="0.25">
      <c r="F200"/>
      <c r="G200"/>
      <c r="H200"/>
    </row>
    <row r="201" spans="6:8" x14ac:dyDescent="0.25">
      <c r="F201"/>
      <c r="G201"/>
      <c r="H201"/>
    </row>
    <row r="202" spans="6:8" x14ac:dyDescent="0.25">
      <c r="F202"/>
      <c r="G202"/>
      <c r="H202"/>
    </row>
    <row r="203" spans="6:8" x14ac:dyDescent="0.25">
      <c r="F203"/>
      <c r="G203"/>
      <c r="H203"/>
    </row>
    <row r="204" spans="6:8" x14ac:dyDescent="0.25">
      <c r="F204"/>
      <c r="G204"/>
      <c r="H204"/>
    </row>
    <row r="205" spans="6:8" x14ac:dyDescent="0.25">
      <c r="F205"/>
      <c r="G205"/>
      <c r="H205"/>
    </row>
    <row r="206" spans="6:8" x14ac:dyDescent="0.25">
      <c r="F206"/>
      <c r="G206"/>
      <c r="H206"/>
    </row>
    <row r="207" spans="6:8" x14ac:dyDescent="0.25">
      <c r="F207"/>
      <c r="G207"/>
      <c r="H207"/>
    </row>
    <row r="208" spans="6:8" x14ac:dyDescent="0.25">
      <c r="F208"/>
      <c r="G208"/>
      <c r="H208"/>
    </row>
    <row r="209" spans="6:8" x14ac:dyDescent="0.25">
      <c r="F209"/>
      <c r="G209"/>
      <c r="H209"/>
    </row>
    <row r="210" spans="6:8" x14ac:dyDescent="0.25">
      <c r="F210"/>
      <c r="G210"/>
      <c r="H210"/>
    </row>
    <row r="211" spans="6:8" x14ac:dyDescent="0.25">
      <c r="F211"/>
      <c r="G211"/>
      <c r="H211"/>
    </row>
    <row r="212" spans="6:8" x14ac:dyDescent="0.25">
      <c r="F212"/>
      <c r="G212"/>
      <c r="H212"/>
    </row>
    <row r="213" spans="6:8" x14ac:dyDescent="0.25">
      <c r="F213"/>
      <c r="G213"/>
      <c r="H213"/>
    </row>
    <row r="214" spans="6:8" x14ac:dyDescent="0.25">
      <c r="F214"/>
      <c r="G214"/>
      <c r="H214"/>
    </row>
    <row r="215" spans="6:8" x14ac:dyDescent="0.25">
      <c r="F215"/>
      <c r="G215"/>
      <c r="H215"/>
    </row>
    <row r="216" spans="6:8" x14ac:dyDescent="0.25">
      <c r="F216"/>
      <c r="G216"/>
      <c r="H216"/>
    </row>
    <row r="217" spans="6:8" x14ac:dyDescent="0.25">
      <c r="F217"/>
      <c r="G217"/>
      <c r="H217"/>
    </row>
    <row r="218" spans="6:8" x14ac:dyDescent="0.25">
      <c r="F218"/>
      <c r="G218"/>
      <c r="H218"/>
    </row>
    <row r="219" spans="6:8" x14ac:dyDescent="0.25">
      <c r="F219"/>
      <c r="G219"/>
      <c r="H219"/>
    </row>
    <row r="220" spans="6:8" x14ac:dyDescent="0.25">
      <c r="F220"/>
      <c r="G220"/>
      <c r="H220"/>
    </row>
    <row r="221" spans="6:8" x14ac:dyDescent="0.25">
      <c r="F221"/>
      <c r="G221"/>
      <c r="H221"/>
    </row>
    <row r="222" spans="6:8" x14ac:dyDescent="0.25">
      <c r="F222"/>
      <c r="G222"/>
      <c r="H222"/>
    </row>
    <row r="223" spans="6:8" x14ac:dyDescent="0.25">
      <c r="F223"/>
      <c r="G223"/>
      <c r="H223"/>
    </row>
    <row r="224" spans="6:8" x14ac:dyDescent="0.25">
      <c r="F224"/>
      <c r="G224"/>
      <c r="H224"/>
    </row>
    <row r="225" spans="6:8" x14ac:dyDescent="0.25">
      <c r="F225"/>
      <c r="G225"/>
      <c r="H225"/>
    </row>
    <row r="226" spans="6:8" x14ac:dyDescent="0.25">
      <c r="F226"/>
      <c r="G226"/>
      <c r="H226"/>
    </row>
    <row r="227" spans="6:8" x14ac:dyDescent="0.25">
      <c r="F227"/>
      <c r="G227"/>
      <c r="H227"/>
    </row>
    <row r="228" spans="6:8" x14ac:dyDescent="0.25">
      <c r="G228"/>
      <c r="H228"/>
    </row>
  </sheetData>
  <mergeCells count="1">
    <mergeCell ref="B1:G1"/>
  </mergeCells>
  <pageMargins left="0.511811024" right="0.511811024" top="0.78740157499999996" bottom="0.78740157499999996" header="0.31496062000000002" footer="0.31496062000000002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31459-6486-4EE3-8D89-FD2BB5335EF5}">
  <dimension ref="A1:L231"/>
  <sheetViews>
    <sheetView topLeftCell="A40" zoomScaleNormal="100" workbookViewId="0">
      <selection activeCell="D64" sqref="D64"/>
    </sheetView>
  </sheetViews>
  <sheetFormatPr defaultColWidth="9.140625" defaultRowHeight="15" x14ac:dyDescent="0.25"/>
  <cols>
    <col min="1" max="1" width="29.5703125" style="45" customWidth="1"/>
    <col min="2" max="2" width="45.28515625" style="45" customWidth="1"/>
    <col min="3" max="3" width="29.7109375" style="45" customWidth="1"/>
    <col min="4" max="4" width="21.42578125" style="45" customWidth="1"/>
    <col min="5" max="5" width="17.42578125" style="45" customWidth="1"/>
    <col min="6" max="6" width="16.42578125" style="45" customWidth="1"/>
    <col min="7" max="7" width="17.140625" style="45" customWidth="1"/>
    <col min="8" max="8" width="16.85546875" style="45" bestFit="1" customWidth="1"/>
    <col min="9" max="16384" width="9.140625" style="45"/>
  </cols>
  <sheetData>
    <row r="1" spans="1:8" customFormat="1" ht="21.75" customHeight="1" x14ac:dyDescent="0.25">
      <c r="A1" s="46"/>
      <c r="B1" s="112" t="s">
        <v>0</v>
      </c>
      <c r="C1" s="113"/>
      <c r="D1" s="113"/>
      <c r="E1" s="113"/>
      <c r="F1" s="113"/>
      <c r="G1" s="114"/>
      <c r="H1" s="47"/>
    </row>
    <row r="2" spans="1:8" customFormat="1" ht="30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3"/>
      <c r="F2" s="4" t="s">
        <v>5</v>
      </c>
      <c r="G2" s="5"/>
      <c r="H2" s="6"/>
    </row>
    <row r="3" spans="1:8" customFormat="1" ht="30.6" customHeight="1" x14ac:dyDescent="0.25">
      <c r="A3" s="7">
        <v>1</v>
      </c>
      <c r="B3" s="8" t="s">
        <v>6</v>
      </c>
      <c r="C3" s="8"/>
      <c r="D3" s="9">
        <v>45839</v>
      </c>
      <c r="E3" s="9"/>
      <c r="F3" s="10">
        <f>532.69+550+5000</f>
        <v>6082.6900000000005</v>
      </c>
      <c r="G3" s="5"/>
      <c r="H3" s="6"/>
    </row>
    <row r="4" spans="1:8" customFormat="1" ht="30.6" customHeight="1" x14ac:dyDescent="0.25">
      <c r="A4" s="7">
        <v>2</v>
      </c>
      <c r="B4" s="8" t="s">
        <v>8</v>
      </c>
      <c r="C4" s="8" t="s">
        <v>9</v>
      </c>
      <c r="D4" s="9">
        <v>45839</v>
      </c>
      <c r="E4" s="9"/>
      <c r="F4" s="10">
        <v>39590</v>
      </c>
      <c r="G4" s="5"/>
      <c r="H4" s="11"/>
    </row>
    <row r="5" spans="1:8" customFormat="1" ht="30.6" customHeight="1" x14ac:dyDescent="0.25">
      <c r="A5" s="7">
        <v>3</v>
      </c>
      <c r="B5" s="8" t="s">
        <v>10</v>
      </c>
      <c r="C5" s="12" t="s">
        <v>11</v>
      </c>
      <c r="D5" s="9">
        <v>45839</v>
      </c>
      <c r="E5" s="9"/>
      <c r="F5" s="10">
        <v>39510.6</v>
      </c>
      <c r="G5" s="5"/>
      <c r="H5" s="11"/>
    </row>
    <row r="6" spans="1:8" customFormat="1" ht="30.6" customHeight="1" x14ac:dyDescent="0.25">
      <c r="A6" s="7">
        <v>4</v>
      </c>
      <c r="B6" s="8" t="s">
        <v>12</v>
      </c>
      <c r="C6" s="8"/>
      <c r="D6" s="9">
        <v>45839</v>
      </c>
      <c r="E6" s="9"/>
      <c r="F6" s="10">
        <v>392.33</v>
      </c>
      <c r="G6" s="5"/>
      <c r="H6" s="6"/>
    </row>
    <row r="7" spans="1:8" customFormat="1" ht="30.6" customHeight="1" x14ac:dyDescent="0.25">
      <c r="A7" s="7">
        <v>5</v>
      </c>
      <c r="B7" s="8" t="s">
        <v>13</v>
      </c>
      <c r="C7" s="8" t="s">
        <v>14</v>
      </c>
      <c r="D7" s="9">
        <v>45839</v>
      </c>
      <c r="E7" s="9"/>
      <c r="F7" s="13">
        <v>1518</v>
      </c>
      <c r="G7" s="5"/>
      <c r="H7" s="6"/>
    </row>
    <row r="8" spans="1:8" customFormat="1" ht="30.6" customHeight="1" x14ac:dyDescent="0.25">
      <c r="A8" s="7">
        <v>6</v>
      </c>
      <c r="B8" s="8" t="s">
        <v>15</v>
      </c>
      <c r="C8" s="8" t="s">
        <v>16</v>
      </c>
      <c r="D8" s="9">
        <v>45839</v>
      </c>
      <c r="E8" s="9"/>
      <c r="F8" s="13">
        <v>2500</v>
      </c>
      <c r="G8" s="5"/>
      <c r="H8" s="6"/>
    </row>
    <row r="9" spans="1:8" customFormat="1" ht="34.5" customHeight="1" x14ac:dyDescent="0.25">
      <c r="A9" s="7">
        <v>7</v>
      </c>
      <c r="B9" s="14" t="s">
        <v>17</v>
      </c>
      <c r="C9" s="12" t="s">
        <v>18</v>
      </c>
      <c r="D9" s="9">
        <v>45839</v>
      </c>
      <c r="E9" s="9"/>
      <c r="F9" s="13">
        <v>1105</v>
      </c>
      <c r="G9" s="5"/>
      <c r="H9" s="6"/>
    </row>
    <row r="10" spans="1:8" customFormat="1" ht="30.6" customHeight="1" x14ac:dyDescent="0.25">
      <c r="A10" s="7">
        <v>8</v>
      </c>
      <c r="B10" s="14" t="s">
        <v>19</v>
      </c>
      <c r="C10" s="14" t="s">
        <v>20</v>
      </c>
      <c r="D10" s="9">
        <v>45839</v>
      </c>
      <c r="E10" s="9"/>
      <c r="F10" s="13">
        <v>147.69999999999999</v>
      </c>
      <c r="G10" s="5"/>
      <c r="H10" s="6"/>
    </row>
    <row r="11" spans="1:8" customFormat="1" ht="30.6" customHeight="1" x14ac:dyDescent="0.25">
      <c r="A11" s="7">
        <v>9</v>
      </c>
      <c r="B11" s="14" t="s">
        <v>149</v>
      </c>
      <c r="C11" s="14" t="s">
        <v>150</v>
      </c>
      <c r="D11" s="9">
        <v>45839</v>
      </c>
      <c r="E11" s="9"/>
      <c r="F11" s="13">
        <v>149.9</v>
      </c>
      <c r="G11" s="5"/>
      <c r="H11" s="6"/>
    </row>
    <row r="12" spans="1:8" customFormat="1" ht="30.6" customHeight="1" x14ac:dyDescent="0.25">
      <c r="A12" s="7">
        <v>10</v>
      </c>
      <c r="B12" s="14" t="s">
        <v>21</v>
      </c>
      <c r="C12" s="12" t="s">
        <v>22</v>
      </c>
      <c r="D12" s="9">
        <v>45839</v>
      </c>
      <c r="E12" s="9"/>
      <c r="F12" s="13">
        <v>385</v>
      </c>
      <c r="G12" s="5"/>
      <c r="H12" s="15"/>
    </row>
    <row r="13" spans="1:8" customFormat="1" ht="30.6" customHeight="1" x14ac:dyDescent="0.25">
      <c r="A13" s="7">
        <v>11</v>
      </c>
      <c r="B13" s="14" t="s">
        <v>23</v>
      </c>
      <c r="C13" s="8"/>
      <c r="D13" s="9">
        <v>45839</v>
      </c>
      <c r="E13" s="9"/>
      <c r="F13" s="13">
        <v>360</v>
      </c>
      <c r="G13" s="5"/>
      <c r="H13" s="6"/>
    </row>
    <row r="14" spans="1:8" customFormat="1" ht="31.5" customHeight="1" x14ac:dyDescent="0.25">
      <c r="A14" s="7">
        <v>12</v>
      </c>
      <c r="B14" s="14" t="s">
        <v>24</v>
      </c>
      <c r="C14" s="12" t="s">
        <v>25</v>
      </c>
      <c r="D14" s="9">
        <v>45839</v>
      </c>
      <c r="E14" s="9"/>
      <c r="F14" s="13">
        <v>346.2</v>
      </c>
      <c r="G14" s="5"/>
      <c r="H14" s="6"/>
    </row>
    <row r="15" spans="1:8" customFormat="1" ht="36.75" customHeight="1" x14ac:dyDescent="0.25">
      <c r="A15" s="7">
        <v>13</v>
      </c>
      <c r="B15" s="14" t="s">
        <v>169</v>
      </c>
      <c r="C15" s="12" t="s">
        <v>170</v>
      </c>
      <c r="D15" s="9">
        <v>45839</v>
      </c>
      <c r="E15" s="9"/>
      <c r="F15" s="13">
        <v>84.99</v>
      </c>
      <c r="G15" s="5"/>
      <c r="H15" s="6"/>
    </row>
    <row r="16" spans="1:8" customFormat="1" ht="36.75" customHeight="1" x14ac:dyDescent="0.25">
      <c r="A16" s="7">
        <v>14</v>
      </c>
      <c r="B16" s="14" t="s">
        <v>171</v>
      </c>
      <c r="C16" s="12" t="s">
        <v>172</v>
      </c>
      <c r="D16" s="9">
        <v>45839</v>
      </c>
      <c r="E16" s="9"/>
      <c r="F16" s="13">
        <v>35.4</v>
      </c>
      <c r="G16" s="5"/>
      <c r="H16" s="6"/>
    </row>
    <row r="17" spans="1:12" customFormat="1" ht="36.75" customHeight="1" x14ac:dyDescent="0.25">
      <c r="A17" s="7">
        <v>15</v>
      </c>
      <c r="B17" s="14" t="s">
        <v>173</v>
      </c>
      <c r="C17" s="12" t="s">
        <v>174</v>
      </c>
      <c r="D17" s="9">
        <v>45839</v>
      </c>
      <c r="E17" s="9"/>
      <c r="F17" s="13">
        <v>500</v>
      </c>
      <c r="G17" s="5"/>
      <c r="H17" s="6"/>
    </row>
    <row r="18" spans="1:12" customFormat="1" ht="36.75" customHeight="1" x14ac:dyDescent="0.25">
      <c r="A18" s="7">
        <v>16</v>
      </c>
      <c r="B18" s="14" t="s">
        <v>26</v>
      </c>
      <c r="C18" s="12" t="s">
        <v>175</v>
      </c>
      <c r="D18" s="9">
        <v>45839</v>
      </c>
      <c r="E18" s="9"/>
      <c r="F18" s="13">
        <v>208</v>
      </c>
      <c r="G18" s="5"/>
      <c r="H18" s="6"/>
    </row>
    <row r="19" spans="1:12" customFormat="1" ht="36.75" customHeight="1" x14ac:dyDescent="0.25">
      <c r="A19" s="7">
        <v>17</v>
      </c>
      <c r="B19" s="14" t="s">
        <v>176</v>
      </c>
      <c r="C19" s="12" t="s">
        <v>177</v>
      </c>
      <c r="D19" s="9">
        <v>45839</v>
      </c>
      <c r="E19" s="9"/>
      <c r="F19" s="13">
        <v>240.04</v>
      </c>
      <c r="G19" s="5"/>
      <c r="H19" s="6"/>
    </row>
    <row r="20" spans="1:12" customFormat="1" ht="42" customHeight="1" x14ac:dyDescent="0.25">
      <c r="A20" s="48"/>
      <c r="B20" s="49" t="s">
        <v>31</v>
      </c>
      <c r="C20" s="50"/>
      <c r="D20" s="51"/>
      <c r="E20" s="52"/>
      <c r="F20" s="53">
        <f>SUM(F3:F19)</f>
        <v>93155.849999999991</v>
      </c>
      <c r="G20" s="54"/>
      <c r="H20" s="55"/>
    </row>
    <row r="21" spans="1:12" customFormat="1" ht="21.75" customHeight="1" x14ac:dyDescent="0.25">
      <c r="A21" s="16" t="s">
        <v>32</v>
      </c>
      <c r="B21" s="17" t="s">
        <v>33</v>
      </c>
      <c r="C21" s="18" t="s">
        <v>34</v>
      </c>
      <c r="D21" s="16" t="s">
        <v>35</v>
      </c>
      <c r="E21" s="16" t="s">
        <v>36</v>
      </c>
      <c r="F21" s="16" t="s">
        <v>37</v>
      </c>
      <c r="G21" s="19" t="s">
        <v>38</v>
      </c>
      <c r="H21" s="18" t="s">
        <v>39</v>
      </c>
    </row>
    <row r="22" spans="1:12" s="72" customFormat="1" ht="15" customHeight="1" x14ac:dyDescent="0.25">
      <c r="A22" s="65" t="s">
        <v>40</v>
      </c>
      <c r="B22" s="66" t="s">
        <v>41</v>
      </c>
      <c r="C22" s="67" t="s">
        <v>42</v>
      </c>
      <c r="D22" s="68">
        <v>4016</v>
      </c>
      <c r="E22" s="69">
        <f>D22/$D$65</f>
        <v>1.3299610959886176E-2</v>
      </c>
      <c r="F22" s="70">
        <f>$F$20*E22</f>
        <v>1238.9365636375126</v>
      </c>
      <c r="G22" s="71">
        <f>F22*5%</f>
        <v>61.946828181875631</v>
      </c>
      <c r="H22" s="71">
        <f t="shared" ref="H22:H64" si="0">F22+G22</f>
        <v>1300.8833918193882</v>
      </c>
    </row>
    <row r="23" spans="1:12" s="74" customFormat="1" x14ac:dyDescent="0.25">
      <c r="A23" s="65" t="s">
        <v>43</v>
      </c>
      <c r="B23" s="73" t="s">
        <v>44</v>
      </c>
      <c r="C23" s="67">
        <v>18778225000139</v>
      </c>
      <c r="D23" s="68">
        <v>8711.2199999999993</v>
      </c>
      <c r="E23" s="69">
        <f t="shared" ref="E23:E64" si="1">D23/$D$65</f>
        <v>2.8848564986548714E-2</v>
      </c>
      <c r="F23" s="70">
        <f t="shared" ref="F23:F64" si="2">$F$20*E23</f>
        <v>2687.4125926021838</v>
      </c>
      <c r="G23" s="71">
        <f t="shared" ref="G23:G64" si="3">F23*5%</f>
        <v>134.37062963010919</v>
      </c>
      <c r="H23" s="71">
        <f t="shared" si="0"/>
        <v>2821.7832222322932</v>
      </c>
    </row>
    <row r="24" spans="1:12" s="74" customFormat="1" x14ac:dyDescent="0.25">
      <c r="A24" s="65" t="s">
        <v>45</v>
      </c>
      <c r="B24" s="73" t="s">
        <v>46</v>
      </c>
      <c r="C24" s="67">
        <v>41993875000119</v>
      </c>
      <c r="D24" s="68">
        <v>3641.8</v>
      </c>
      <c r="E24" s="69">
        <f t="shared" si="1"/>
        <v>1.206038924146252E-2</v>
      </c>
      <c r="F24" s="70">
        <f t="shared" si="2"/>
        <v>1123.4958111192961</v>
      </c>
      <c r="G24" s="71">
        <f t="shared" si="3"/>
        <v>56.174790555964812</v>
      </c>
      <c r="H24" s="71">
        <f t="shared" si="0"/>
        <v>1179.670601675261</v>
      </c>
    </row>
    <row r="25" spans="1:12" s="74" customFormat="1" x14ac:dyDescent="0.25">
      <c r="A25" s="65" t="s">
        <v>47</v>
      </c>
      <c r="B25" s="66" t="s">
        <v>48</v>
      </c>
      <c r="C25" s="67">
        <v>24781302000102</v>
      </c>
      <c r="D25" s="68">
        <v>3430</v>
      </c>
      <c r="E25" s="69">
        <f t="shared" si="1"/>
        <v>1.1358980476197605E-2</v>
      </c>
      <c r="F25" s="70">
        <f t="shared" si="2"/>
        <v>1058.1554813935925</v>
      </c>
      <c r="G25" s="71">
        <f t="shared" si="3"/>
        <v>52.907774069679625</v>
      </c>
      <c r="H25" s="71">
        <f t="shared" si="0"/>
        <v>1111.0632554632721</v>
      </c>
    </row>
    <row r="26" spans="1:12" customFormat="1" x14ac:dyDescent="0.25">
      <c r="A26" s="20" t="s">
        <v>161</v>
      </c>
      <c r="B26" s="66" t="s">
        <v>162</v>
      </c>
      <c r="C26" s="22" t="s">
        <v>163</v>
      </c>
      <c r="D26" s="23">
        <v>9403</v>
      </c>
      <c r="E26" s="69">
        <f t="shared" si="1"/>
        <v>3.1139502454135885E-2</v>
      </c>
      <c r="F26" s="70">
        <f t="shared" si="2"/>
        <v>2900.826819692114</v>
      </c>
      <c r="G26" s="26">
        <f t="shared" si="3"/>
        <v>145.04134098460571</v>
      </c>
      <c r="H26" s="26">
        <f t="shared" si="0"/>
        <v>3045.8681606767195</v>
      </c>
    </row>
    <row r="27" spans="1:12" s="74" customFormat="1" x14ac:dyDescent="0.25">
      <c r="A27" s="65" t="s">
        <v>49</v>
      </c>
      <c r="B27" s="66" t="s">
        <v>50</v>
      </c>
      <c r="C27" s="67">
        <v>38649716000197</v>
      </c>
      <c r="D27" s="68">
        <v>3440</v>
      </c>
      <c r="E27" s="69">
        <f t="shared" si="1"/>
        <v>1.1392097037352699E-2</v>
      </c>
      <c r="F27" s="70">
        <f t="shared" si="2"/>
        <v>1061.2404827970724</v>
      </c>
      <c r="G27" s="71">
        <f t="shared" si="3"/>
        <v>53.062024139853627</v>
      </c>
      <c r="H27" s="71">
        <f t="shared" si="0"/>
        <v>1114.302506936926</v>
      </c>
    </row>
    <row r="28" spans="1:12" s="74" customFormat="1" x14ac:dyDescent="0.25">
      <c r="A28" s="65" t="s">
        <v>51</v>
      </c>
      <c r="B28" s="66" t="s">
        <v>52</v>
      </c>
      <c r="C28" s="67" t="s">
        <v>53</v>
      </c>
      <c r="D28" s="68">
        <v>4056</v>
      </c>
      <c r="E28" s="69">
        <f t="shared" si="1"/>
        <v>1.3432077204506556E-2</v>
      </c>
      <c r="F28" s="70">
        <f t="shared" si="2"/>
        <v>1251.276569251432</v>
      </c>
      <c r="G28" s="71">
        <f t="shared" si="3"/>
        <v>62.5638284625716</v>
      </c>
      <c r="H28" s="71">
        <f t="shared" si="0"/>
        <v>1313.8403977140035</v>
      </c>
    </row>
    <row r="29" spans="1:12" s="74" customFormat="1" x14ac:dyDescent="0.25">
      <c r="A29" s="65" t="s">
        <v>54</v>
      </c>
      <c r="B29" s="66" t="s">
        <v>55</v>
      </c>
      <c r="C29" s="67" t="s">
        <v>56</v>
      </c>
      <c r="D29" s="68">
        <v>11580</v>
      </c>
      <c r="E29" s="69">
        <f t="shared" si="1"/>
        <v>3.8348977817600077E-2</v>
      </c>
      <c r="F29" s="70">
        <f t="shared" si="2"/>
        <v>3572.4316252296799</v>
      </c>
      <c r="G29" s="71">
        <f t="shared" si="3"/>
        <v>178.62158126148401</v>
      </c>
      <c r="H29" s="71">
        <f t="shared" si="0"/>
        <v>3751.053206491164</v>
      </c>
    </row>
    <row r="30" spans="1:12" s="74" customFormat="1" x14ac:dyDescent="0.25">
      <c r="A30" s="65" t="s">
        <v>57</v>
      </c>
      <c r="B30" s="66" t="s">
        <v>58</v>
      </c>
      <c r="C30" s="58" t="s">
        <v>178</v>
      </c>
      <c r="D30" s="68">
        <f>360+360+1510</f>
        <v>2230</v>
      </c>
      <c r="E30" s="69">
        <f t="shared" si="1"/>
        <v>7.3849931375861979E-3</v>
      </c>
      <c r="F30" s="70">
        <f t="shared" si="2"/>
        <v>687.95531297600917</v>
      </c>
      <c r="G30" s="71">
        <f t="shared" si="3"/>
        <v>34.397765648800458</v>
      </c>
      <c r="H30" s="71">
        <f t="shared" si="0"/>
        <v>722.35307862480965</v>
      </c>
    </row>
    <row r="31" spans="1:12" s="79" customFormat="1" ht="15.75" customHeight="1" x14ac:dyDescent="0.25">
      <c r="A31" s="65" t="s">
        <v>60</v>
      </c>
      <c r="B31" s="75" t="s">
        <v>61</v>
      </c>
      <c r="C31" s="76" t="s">
        <v>62</v>
      </c>
      <c r="D31" s="68">
        <f>5224+3930</f>
        <v>9154</v>
      </c>
      <c r="E31" s="69">
        <f t="shared" si="1"/>
        <v>3.0314900081374017E-2</v>
      </c>
      <c r="F31" s="70">
        <f t="shared" si="2"/>
        <v>2824.0102847454655</v>
      </c>
      <c r="G31" s="71">
        <f t="shared" si="3"/>
        <v>141.20051423727327</v>
      </c>
      <c r="H31" s="77">
        <f t="shared" si="0"/>
        <v>2965.2107989827387</v>
      </c>
      <c r="I31" s="78" t="s">
        <v>63</v>
      </c>
      <c r="L31" s="79" t="s">
        <v>64</v>
      </c>
    </row>
    <row r="32" spans="1:12" s="74" customFormat="1" ht="15.75" customHeight="1" x14ac:dyDescent="0.25">
      <c r="A32" s="65" t="s">
        <v>65</v>
      </c>
      <c r="B32" s="73" t="s">
        <v>66</v>
      </c>
      <c r="C32" s="67" t="s">
        <v>67</v>
      </c>
      <c r="D32" s="68">
        <v>2610</v>
      </c>
      <c r="E32" s="69">
        <f t="shared" si="1"/>
        <v>8.6434224614798105E-3</v>
      </c>
      <c r="F32" s="70">
        <f t="shared" si="2"/>
        <v>805.18536630824394</v>
      </c>
      <c r="G32" s="71">
        <f t="shared" si="3"/>
        <v>40.2592683154122</v>
      </c>
      <c r="H32" s="71">
        <f t="shared" si="0"/>
        <v>845.44463462365616</v>
      </c>
    </row>
    <row r="33" spans="1:12" s="74" customFormat="1" ht="15.75" customHeight="1" x14ac:dyDescent="0.25">
      <c r="A33" s="65" t="s">
        <v>68</v>
      </c>
      <c r="B33" s="73" t="s">
        <v>69</v>
      </c>
      <c r="C33" s="67" t="s">
        <v>70</v>
      </c>
      <c r="D33" s="68">
        <v>5515</v>
      </c>
      <c r="E33" s="69">
        <f t="shared" si="1"/>
        <v>1.8263783477034924E-2</v>
      </c>
      <c r="F33" s="70">
        <f t="shared" si="2"/>
        <v>1701.3782740191436</v>
      </c>
      <c r="G33" s="71">
        <f t="shared" si="3"/>
        <v>85.068913700957182</v>
      </c>
      <c r="H33" s="71">
        <f t="shared" si="0"/>
        <v>1786.4471877201008</v>
      </c>
    </row>
    <row r="34" spans="1:12" s="74" customFormat="1" ht="15.75" customHeight="1" x14ac:dyDescent="0.25">
      <c r="A34" s="65" t="s">
        <v>71</v>
      </c>
      <c r="B34" s="66" t="s">
        <v>72</v>
      </c>
      <c r="C34" s="67">
        <v>17202383000183</v>
      </c>
      <c r="D34" s="68">
        <v>15332</v>
      </c>
      <c r="E34" s="69">
        <f t="shared" si="1"/>
        <v>5.0774311562991746E-2</v>
      </c>
      <c r="F34" s="70">
        <f t="shared" si="2"/>
        <v>4729.924151815324</v>
      </c>
      <c r="G34" s="71">
        <f t="shared" si="3"/>
        <v>236.4962075907662</v>
      </c>
      <c r="H34" s="71">
        <f t="shared" si="0"/>
        <v>4966.42035940609</v>
      </c>
    </row>
    <row r="35" spans="1:12" s="74" customFormat="1" ht="15.75" customHeight="1" x14ac:dyDescent="0.25">
      <c r="A35" s="65" t="s">
        <v>73</v>
      </c>
      <c r="B35" s="66" t="s">
        <v>74</v>
      </c>
      <c r="C35" s="67">
        <v>18183488000103</v>
      </c>
      <c r="D35" s="68">
        <v>7238</v>
      </c>
      <c r="E35" s="69">
        <f t="shared" si="1"/>
        <v>2.3969766964057802E-2</v>
      </c>
      <c r="F35" s="70">
        <f t="shared" si="2"/>
        <v>2232.9240158387238</v>
      </c>
      <c r="G35" s="71">
        <f t="shared" si="3"/>
        <v>111.6462007919362</v>
      </c>
      <c r="H35" s="71">
        <f t="shared" si="0"/>
        <v>2344.5702166306601</v>
      </c>
    </row>
    <row r="36" spans="1:12" s="74" customFormat="1" x14ac:dyDescent="0.25">
      <c r="A36" s="65" t="s">
        <v>75</v>
      </c>
      <c r="B36" s="66" t="s">
        <v>76</v>
      </c>
      <c r="C36" s="67">
        <v>18244070000150</v>
      </c>
      <c r="D36" s="68">
        <v>5941</v>
      </c>
      <c r="E36" s="69">
        <f t="shared" si="1"/>
        <v>1.9674548982241975E-2</v>
      </c>
      <c r="F36" s="70">
        <f t="shared" si="2"/>
        <v>1832.7993338073859</v>
      </c>
      <c r="G36" s="71">
        <f t="shared" si="3"/>
        <v>91.639966690369306</v>
      </c>
      <c r="H36" s="71">
        <f t="shared" si="0"/>
        <v>1924.4393004977551</v>
      </c>
    </row>
    <row r="37" spans="1:12" s="74" customFormat="1" x14ac:dyDescent="0.25">
      <c r="A37" s="65" t="s">
        <v>77</v>
      </c>
      <c r="B37" s="66" t="s">
        <v>78</v>
      </c>
      <c r="C37" s="67">
        <v>18244039000110</v>
      </c>
      <c r="D37" s="68">
        <v>4460</v>
      </c>
      <c r="E37" s="69">
        <f t="shared" si="1"/>
        <v>1.4769986275172396E-2</v>
      </c>
      <c r="F37" s="70">
        <f t="shared" si="2"/>
        <v>1375.9106259520183</v>
      </c>
      <c r="G37" s="71">
        <f t="shared" si="3"/>
        <v>68.795531297600917</v>
      </c>
      <c r="H37" s="71">
        <f t="shared" si="0"/>
        <v>1444.7061572496193</v>
      </c>
    </row>
    <row r="38" spans="1:12" s="74" customFormat="1" x14ac:dyDescent="0.25">
      <c r="A38" s="65" t="s">
        <v>79</v>
      </c>
      <c r="B38" s="66" t="s">
        <v>153</v>
      </c>
      <c r="C38" s="67" t="s">
        <v>154</v>
      </c>
      <c r="D38" s="68">
        <v>4415</v>
      </c>
      <c r="E38" s="69">
        <f t="shared" si="1"/>
        <v>1.4620961749974468E-2</v>
      </c>
      <c r="F38" s="70">
        <f t="shared" si="2"/>
        <v>1362.028119636359</v>
      </c>
      <c r="G38" s="71">
        <f t="shared" si="3"/>
        <v>68.101405981817948</v>
      </c>
      <c r="H38" s="71">
        <f t="shared" si="0"/>
        <v>1430.129525618177</v>
      </c>
    </row>
    <row r="39" spans="1:12" s="74" customFormat="1" x14ac:dyDescent="0.25">
      <c r="A39" s="65" t="s">
        <v>81</v>
      </c>
      <c r="B39" s="66" t="s">
        <v>82</v>
      </c>
      <c r="C39" s="67" t="s">
        <v>83</v>
      </c>
      <c r="D39" s="68">
        <v>8673</v>
      </c>
      <c r="E39" s="69">
        <f t="shared" si="1"/>
        <v>2.8721993489813944E-2</v>
      </c>
      <c r="F39" s="70">
        <f t="shared" si="2"/>
        <v>2675.6217172380839</v>
      </c>
      <c r="G39" s="71">
        <f t="shared" si="3"/>
        <v>133.78108586190419</v>
      </c>
      <c r="H39" s="71">
        <f t="shared" si="0"/>
        <v>2809.402803099988</v>
      </c>
    </row>
    <row r="40" spans="1:12" s="74" customFormat="1" x14ac:dyDescent="0.25">
      <c r="A40" s="65" t="s">
        <v>84</v>
      </c>
      <c r="B40" s="66" t="s">
        <v>155</v>
      </c>
      <c r="C40" s="67" t="s">
        <v>86</v>
      </c>
      <c r="D40" s="68">
        <v>9239</v>
      </c>
      <c r="E40" s="69">
        <f t="shared" si="1"/>
        <v>3.0596390851192326E-2</v>
      </c>
      <c r="F40" s="70">
        <f t="shared" si="2"/>
        <v>2850.2327966750445</v>
      </c>
      <c r="G40" s="71">
        <f t="shared" si="3"/>
        <v>142.51163983375224</v>
      </c>
      <c r="H40" s="71">
        <f t="shared" si="0"/>
        <v>2992.7444365087968</v>
      </c>
    </row>
    <row r="41" spans="1:12" s="74" customFormat="1" x14ac:dyDescent="0.25">
      <c r="A41" s="65" t="s">
        <v>87</v>
      </c>
      <c r="B41" s="66" t="s">
        <v>88</v>
      </c>
      <c r="C41" s="67" t="s">
        <v>89</v>
      </c>
      <c r="D41" s="68">
        <v>4892</v>
      </c>
      <c r="E41" s="69">
        <f t="shared" si="1"/>
        <v>1.6200621717072504E-2</v>
      </c>
      <c r="F41" s="70">
        <f t="shared" si="2"/>
        <v>1509.1826865823484</v>
      </c>
      <c r="G41" s="71">
        <f t="shared" si="3"/>
        <v>75.459134329117418</v>
      </c>
      <c r="H41" s="71">
        <f t="shared" si="0"/>
        <v>1584.6418209114659</v>
      </c>
    </row>
    <row r="42" spans="1:12" s="74" customFormat="1" x14ac:dyDescent="0.25">
      <c r="A42" s="65" t="s">
        <v>90</v>
      </c>
      <c r="B42" s="66" t="s">
        <v>91</v>
      </c>
      <c r="C42" s="67">
        <v>41497649000147</v>
      </c>
      <c r="D42" s="68">
        <v>2526</v>
      </c>
      <c r="E42" s="69">
        <f t="shared" si="1"/>
        <v>8.3652433477770117E-3</v>
      </c>
      <c r="F42" s="70">
        <f t="shared" si="2"/>
        <v>779.27135451901302</v>
      </c>
      <c r="G42" s="71">
        <f t="shared" si="3"/>
        <v>38.963567725950654</v>
      </c>
      <c r="H42" s="71">
        <f t="shared" si="0"/>
        <v>818.23492224496363</v>
      </c>
    </row>
    <row r="43" spans="1:12" s="74" customFormat="1" x14ac:dyDescent="0.25">
      <c r="A43" s="65" t="s">
        <v>92</v>
      </c>
      <c r="B43" s="66" t="s">
        <v>93</v>
      </c>
      <c r="C43" s="67">
        <v>40580071000125</v>
      </c>
      <c r="D43" s="68">
        <v>3600</v>
      </c>
      <c r="E43" s="69">
        <f t="shared" si="1"/>
        <v>1.1921962015834221E-2</v>
      </c>
      <c r="F43" s="70">
        <f t="shared" si="2"/>
        <v>1110.6005052527503</v>
      </c>
      <c r="G43" s="71">
        <f t="shared" si="3"/>
        <v>55.530025262637515</v>
      </c>
      <c r="H43" s="71">
        <f t="shared" si="0"/>
        <v>1166.1305305153878</v>
      </c>
      <c r="I43" s="78" t="s">
        <v>63</v>
      </c>
      <c r="L43" s="74" t="s">
        <v>94</v>
      </c>
    </row>
    <row r="44" spans="1:12" s="74" customFormat="1" x14ac:dyDescent="0.25">
      <c r="A44" s="65" t="s">
        <v>95</v>
      </c>
      <c r="B44" s="66" t="s">
        <v>96</v>
      </c>
      <c r="C44" s="67" t="s">
        <v>97</v>
      </c>
      <c r="D44" s="68">
        <v>3938</v>
      </c>
      <c r="E44" s="69">
        <f t="shared" si="1"/>
        <v>1.3041301782876434E-2</v>
      </c>
      <c r="F44" s="70">
        <f t="shared" si="2"/>
        <v>1214.8735526903695</v>
      </c>
      <c r="G44" s="71">
        <f t="shared" si="3"/>
        <v>60.743677634518477</v>
      </c>
      <c r="H44" s="71">
        <f t="shared" si="0"/>
        <v>1275.6172303248879</v>
      </c>
    </row>
    <row r="45" spans="1:12" s="74" customFormat="1" x14ac:dyDescent="0.25">
      <c r="A45" s="65" t="s">
        <v>98</v>
      </c>
      <c r="B45" s="66" t="s">
        <v>167</v>
      </c>
      <c r="C45" s="67" t="s">
        <v>168</v>
      </c>
      <c r="D45" s="68">
        <v>3707</v>
      </c>
      <c r="E45" s="69">
        <f t="shared" si="1"/>
        <v>1.2276309220193739E-2</v>
      </c>
      <c r="F45" s="70">
        <f t="shared" si="2"/>
        <v>1143.6100202699847</v>
      </c>
      <c r="G45" s="71">
        <f t="shared" si="3"/>
        <v>57.180501013499239</v>
      </c>
      <c r="H45" s="71">
        <f t="shared" si="0"/>
        <v>1200.7905212834839</v>
      </c>
    </row>
    <row r="46" spans="1:12" s="74" customFormat="1" x14ac:dyDescent="0.25">
      <c r="A46" s="65" t="s">
        <v>100</v>
      </c>
      <c r="B46" s="66" t="s">
        <v>101</v>
      </c>
      <c r="C46" s="67">
        <v>42109766000159</v>
      </c>
      <c r="D46" s="68">
        <v>5117</v>
      </c>
      <c r="E46" s="69">
        <f t="shared" si="1"/>
        <v>1.694574434306214E-2</v>
      </c>
      <c r="F46" s="70">
        <f t="shared" si="2"/>
        <v>1578.5952181606451</v>
      </c>
      <c r="G46" s="71">
        <f t="shared" si="3"/>
        <v>78.929760908032264</v>
      </c>
      <c r="H46" s="71">
        <f t="shared" si="0"/>
        <v>1657.5249790686773</v>
      </c>
    </row>
    <row r="47" spans="1:12" s="74" customFormat="1" x14ac:dyDescent="0.25">
      <c r="A47" s="65" t="s">
        <v>102</v>
      </c>
      <c r="B47" s="66" t="s">
        <v>99</v>
      </c>
      <c r="C47" s="67">
        <v>18788190000119</v>
      </c>
      <c r="D47" s="68">
        <v>14717</v>
      </c>
      <c r="E47" s="69">
        <f t="shared" si="1"/>
        <v>4.8737643051953397E-2</v>
      </c>
      <c r="F47" s="70">
        <f t="shared" si="2"/>
        <v>4540.1965655013128</v>
      </c>
      <c r="G47" s="71">
        <f t="shared" si="3"/>
        <v>227.00982827506564</v>
      </c>
      <c r="H47" s="71">
        <f t="shared" si="0"/>
        <v>4767.2063937763787</v>
      </c>
    </row>
    <row r="48" spans="1:12" s="74" customFormat="1" ht="13.5" customHeight="1" x14ac:dyDescent="0.25">
      <c r="A48" s="65" t="s">
        <v>103</v>
      </c>
      <c r="B48" s="66" t="s">
        <v>104</v>
      </c>
      <c r="C48" s="67">
        <v>32302613000170</v>
      </c>
      <c r="D48" s="68">
        <v>5439</v>
      </c>
      <c r="E48" s="69">
        <f t="shared" si="1"/>
        <v>1.8012097612256202E-2</v>
      </c>
      <c r="F48" s="70">
        <f t="shared" si="2"/>
        <v>1677.9322633526967</v>
      </c>
      <c r="G48" s="71">
        <f t="shared" si="3"/>
        <v>83.89661316763484</v>
      </c>
      <c r="H48" s="71">
        <f t="shared" si="0"/>
        <v>1761.8288765203315</v>
      </c>
    </row>
    <row r="49" spans="1:8" s="74" customFormat="1" x14ac:dyDescent="0.25">
      <c r="A49" s="65" t="s">
        <v>105</v>
      </c>
      <c r="B49" s="66" t="s">
        <v>106</v>
      </c>
      <c r="C49" s="67">
        <v>28616552000148</v>
      </c>
      <c r="D49" s="68">
        <v>4123.71</v>
      </c>
      <c r="E49" s="69">
        <f t="shared" si="1"/>
        <v>1.3656309440087704E-2</v>
      </c>
      <c r="F49" s="70">
        <f t="shared" si="2"/>
        <v>1272.165113754394</v>
      </c>
      <c r="G49" s="71">
        <f t="shared" si="3"/>
        <v>63.608255687719705</v>
      </c>
      <c r="H49" s="71">
        <f t="shared" si="0"/>
        <v>1335.7733694421138</v>
      </c>
    </row>
    <row r="50" spans="1:8" s="74" customFormat="1" x14ac:dyDescent="0.25">
      <c r="A50" s="65" t="s">
        <v>107</v>
      </c>
      <c r="B50" s="66" t="s">
        <v>108</v>
      </c>
      <c r="C50" s="67">
        <v>42579914000107</v>
      </c>
      <c r="D50" s="68">
        <v>4986.3599999999997</v>
      </c>
      <c r="E50" s="69">
        <f t="shared" si="1"/>
        <v>1.6513109588131979E-2</v>
      </c>
      <c r="F50" s="70">
        <f t="shared" si="2"/>
        <v>1538.2927598255842</v>
      </c>
      <c r="G50" s="71">
        <f t="shared" si="3"/>
        <v>76.914637991279221</v>
      </c>
      <c r="H50" s="71">
        <f t="shared" si="0"/>
        <v>1615.2073978168635</v>
      </c>
    </row>
    <row r="51" spans="1:8" s="74" customFormat="1" x14ac:dyDescent="0.25">
      <c r="A51" s="65" t="s">
        <v>109</v>
      </c>
      <c r="B51" s="66" t="s">
        <v>110</v>
      </c>
      <c r="C51" s="67" t="s">
        <v>111</v>
      </c>
      <c r="D51" s="68">
        <v>7462</v>
      </c>
      <c r="E51" s="69">
        <f t="shared" si="1"/>
        <v>2.4711577933931934E-2</v>
      </c>
      <c r="F51" s="70">
        <f t="shared" si="2"/>
        <v>2302.0280472766731</v>
      </c>
      <c r="G51" s="71">
        <f t="shared" si="3"/>
        <v>115.10140236383366</v>
      </c>
      <c r="H51" s="71">
        <f t="shared" si="0"/>
        <v>2417.1294496405067</v>
      </c>
    </row>
    <row r="52" spans="1:8" s="74" customFormat="1" x14ac:dyDescent="0.25">
      <c r="A52" s="65" t="s">
        <v>112</v>
      </c>
      <c r="B52" s="66" t="s">
        <v>113</v>
      </c>
      <c r="C52" s="67" t="s">
        <v>114</v>
      </c>
      <c r="D52" s="68">
        <v>5525</v>
      </c>
      <c r="E52" s="69">
        <f t="shared" si="1"/>
        <v>1.8296900038190018E-2</v>
      </c>
      <c r="F52" s="70">
        <f t="shared" si="2"/>
        <v>1704.4632754226234</v>
      </c>
      <c r="G52" s="71">
        <f t="shared" si="3"/>
        <v>85.223163771131169</v>
      </c>
      <c r="H52" s="71">
        <f t="shared" si="0"/>
        <v>1789.6864391937545</v>
      </c>
    </row>
    <row r="53" spans="1:8" s="74" customFormat="1" x14ac:dyDescent="0.25">
      <c r="A53" s="65" t="s">
        <v>115</v>
      </c>
      <c r="B53" s="66" t="s">
        <v>116</v>
      </c>
      <c r="C53" s="67">
        <v>26480299000112</v>
      </c>
      <c r="D53" s="68"/>
      <c r="E53" s="69">
        <f t="shared" si="1"/>
        <v>0</v>
      </c>
      <c r="F53" s="70">
        <f t="shared" si="2"/>
        <v>0</v>
      </c>
      <c r="G53" s="71">
        <f t="shared" si="3"/>
        <v>0</v>
      </c>
      <c r="H53" s="71">
        <f t="shared" si="0"/>
        <v>0</v>
      </c>
    </row>
    <row r="54" spans="1:8" s="74" customFormat="1" x14ac:dyDescent="0.25">
      <c r="A54" s="65" t="s">
        <v>179</v>
      </c>
      <c r="B54" s="66" t="s">
        <v>180</v>
      </c>
      <c r="C54" s="67" t="s">
        <v>181</v>
      </c>
      <c r="D54" s="68"/>
      <c r="E54" s="69">
        <f t="shared" si="1"/>
        <v>0</v>
      </c>
      <c r="F54" s="70">
        <f>$F$20*E54</f>
        <v>0</v>
      </c>
      <c r="G54" s="71">
        <f>F54*5%</f>
        <v>0</v>
      </c>
      <c r="H54" s="71">
        <f>F54+G54</f>
        <v>0</v>
      </c>
    </row>
    <row r="55" spans="1:8" s="74" customFormat="1" x14ac:dyDescent="0.25">
      <c r="A55" s="65" t="s">
        <v>117</v>
      </c>
      <c r="B55" s="66" t="s">
        <v>118</v>
      </c>
      <c r="C55" s="67" t="s">
        <v>119</v>
      </c>
      <c r="D55" s="68">
        <v>4943</v>
      </c>
      <c r="E55" s="69">
        <f t="shared" si="1"/>
        <v>1.6369516178963487E-2</v>
      </c>
      <c r="F55" s="70">
        <f t="shared" si="2"/>
        <v>1524.9161937400957</v>
      </c>
      <c r="G55" s="71">
        <f t="shared" si="3"/>
        <v>76.24580968700478</v>
      </c>
      <c r="H55" s="71">
        <f t="shared" si="0"/>
        <v>1601.1620034271004</v>
      </c>
    </row>
    <row r="56" spans="1:8" s="74" customFormat="1" x14ac:dyDescent="0.25">
      <c r="A56" s="65" t="s">
        <v>120</v>
      </c>
      <c r="B56" s="66" t="s">
        <v>121</v>
      </c>
      <c r="C56" s="67">
        <v>12997366000166</v>
      </c>
      <c r="D56" s="68">
        <v>5160</v>
      </c>
      <c r="E56" s="69">
        <f t="shared" si="1"/>
        <v>1.7088145556029052E-2</v>
      </c>
      <c r="F56" s="70">
        <f t="shared" si="2"/>
        <v>1591.8607241956088</v>
      </c>
      <c r="G56" s="71">
        <f t="shared" si="3"/>
        <v>79.59303620978045</v>
      </c>
      <c r="H56" s="71">
        <f t="shared" si="0"/>
        <v>1671.4537604053892</v>
      </c>
    </row>
    <row r="57" spans="1:8" s="74" customFormat="1" ht="16.5" customHeight="1" x14ac:dyDescent="0.25">
      <c r="A57" s="65" t="s">
        <v>122</v>
      </c>
      <c r="B57" s="66" t="s">
        <v>123</v>
      </c>
      <c r="C57" s="67" t="s">
        <v>124</v>
      </c>
      <c r="D57" s="68">
        <v>6586</v>
      </c>
      <c r="E57" s="69">
        <f t="shared" si="1"/>
        <v>2.1810567176745607E-2</v>
      </c>
      <c r="F57" s="70">
        <f t="shared" si="2"/>
        <v>2031.781924331837</v>
      </c>
      <c r="G57" s="71">
        <f t="shared" si="3"/>
        <v>101.58909621659186</v>
      </c>
      <c r="H57" s="71">
        <f t="shared" si="0"/>
        <v>2133.371020548429</v>
      </c>
    </row>
    <row r="58" spans="1:8" customFormat="1" x14ac:dyDescent="0.25">
      <c r="A58" s="20" t="s">
        <v>125</v>
      </c>
      <c r="B58" s="21" t="s">
        <v>126</v>
      </c>
      <c r="C58" s="22">
        <v>11884518000151</v>
      </c>
      <c r="D58" s="23">
        <v>5644</v>
      </c>
      <c r="E58" s="69">
        <f t="shared" si="1"/>
        <v>1.8690987115935653E-2</v>
      </c>
      <c r="F58" s="25">
        <f t="shared" si="2"/>
        <v>1741.1747921240342</v>
      </c>
      <c r="G58" s="26">
        <f t="shared" si="3"/>
        <v>87.058739606201712</v>
      </c>
      <c r="H58" s="26">
        <f t="shared" si="0"/>
        <v>1828.2335317302359</v>
      </c>
    </row>
    <row r="59" spans="1:8" s="74" customFormat="1" x14ac:dyDescent="0.25">
      <c r="A59" s="65" t="s">
        <v>127</v>
      </c>
      <c r="B59" s="66" t="s">
        <v>128</v>
      </c>
      <c r="C59" s="67">
        <v>36188051000136</v>
      </c>
      <c r="D59" s="68">
        <v>6936</v>
      </c>
      <c r="E59" s="69">
        <f t="shared" si="1"/>
        <v>2.2969646817173933E-2</v>
      </c>
      <c r="F59" s="70">
        <f t="shared" si="2"/>
        <v>2139.7569734536319</v>
      </c>
      <c r="G59" s="71">
        <f t="shared" si="3"/>
        <v>106.98784867268159</v>
      </c>
      <c r="H59" s="71">
        <f t="shared" si="0"/>
        <v>2246.7448221263135</v>
      </c>
    </row>
    <row r="60" spans="1:8" s="74" customFormat="1" x14ac:dyDescent="0.25">
      <c r="A60" s="65" t="s">
        <v>129</v>
      </c>
      <c r="B60" s="66" t="s">
        <v>130</v>
      </c>
      <c r="C60" s="67" t="s">
        <v>131</v>
      </c>
      <c r="D60" s="68">
        <f>7425*40%</f>
        <v>2970</v>
      </c>
      <c r="E60" s="69">
        <f t="shared" si="1"/>
        <v>9.8356186630632319E-3</v>
      </c>
      <c r="F60" s="70">
        <f t="shared" si="2"/>
        <v>916.2454168335189</v>
      </c>
      <c r="G60" s="71">
        <f t="shared" si="3"/>
        <v>45.812270841675947</v>
      </c>
      <c r="H60" s="71">
        <f t="shared" si="0"/>
        <v>962.05768767519487</v>
      </c>
    </row>
    <row r="61" spans="1:8" s="74" customFormat="1" x14ac:dyDescent="0.25">
      <c r="A61" s="65" t="s">
        <v>132</v>
      </c>
      <c r="B61" s="66" t="s">
        <v>133</v>
      </c>
      <c r="C61" s="67">
        <v>18741082000190</v>
      </c>
      <c r="D61" s="68">
        <v>12183</v>
      </c>
      <c r="E61" s="69">
        <f t="shared" si="1"/>
        <v>4.0345906455252309E-2</v>
      </c>
      <c r="F61" s="70">
        <f t="shared" si="2"/>
        <v>3758.4572098595154</v>
      </c>
      <c r="G61" s="71">
        <f t="shared" si="3"/>
        <v>187.92286049297579</v>
      </c>
      <c r="H61" s="71">
        <f t="shared" si="0"/>
        <v>3946.3800703524912</v>
      </c>
    </row>
    <row r="62" spans="1:8" s="74" customFormat="1" x14ac:dyDescent="0.25">
      <c r="A62" s="65" t="s">
        <v>134</v>
      </c>
      <c r="B62" s="66" t="s">
        <v>135</v>
      </c>
      <c r="C62" s="67" t="s">
        <v>136</v>
      </c>
      <c r="D62" s="68">
        <v>4814</v>
      </c>
      <c r="E62" s="69">
        <f t="shared" si="1"/>
        <v>1.5942312540062762E-2</v>
      </c>
      <c r="F62" s="70">
        <f t="shared" si="2"/>
        <v>1485.1196756352056</v>
      </c>
      <c r="G62" s="71">
        <f t="shared" si="3"/>
        <v>74.255983781760278</v>
      </c>
      <c r="H62" s="71">
        <f t="shared" si="0"/>
        <v>1559.3756594169658</v>
      </c>
    </row>
    <row r="63" spans="1:8" s="74" customFormat="1" x14ac:dyDescent="0.25">
      <c r="A63" s="65" t="s">
        <v>137</v>
      </c>
      <c r="B63" s="66" t="s">
        <v>138</v>
      </c>
      <c r="C63" s="67" t="s">
        <v>139</v>
      </c>
      <c r="D63" s="68">
        <v>3476.86</v>
      </c>
      <c r="E63" s="69">
        <f t="shared" si="1"/>
        <v>1.1514164681770382E-2</v>
      </c>
      <c r="F63" s="70">
        <f t="shared" si="2"/>
        <v>1072.6117979702992</v>
      </c>
      <c r="G63" s="71">
        <f t="shared" si="3"/>
        <v>53.630589898514962</v>
      </c>
      <c r="H63" s="71">
        <f t="shared" si="0"/>
        <v>1126.2423878688141</v>
      </c>
    </row>
    <row r="64" spans="1:8" s="74" customFormat="1" x14ac:dyDescent="0.25">
      <c r="A64" s="65" t="s">
        <v>140</v>
      </c>
      <c r="B64" s="73" t="s">
        <v>141</v>
      </c>
      <c r="C64" s="67">
        <v>11884518000151</v>
      </c>
      <c r="D64" s="68">
        <f>81377.44-14717-3314-9239+4126.33-9403+11302</f>
        <v>60132.770000000004</v>
      </c>
      <c r="E64" s="69">
        <f t="shared" si="1"/>
        <v>0.19913905551302657</v>
      </c>
      <c r="F64" s="70">
        <f t="shared" si="2"/>
        <v>18550.967984513176</v>
      </c>
      <c r="G64" s="71">
        <f t="shared" si="3"/>
        <v>927.54839922565884</v>
      </c>
      <c r="H64" s="71">
        <f t="shared" si="0"/>
        <v>19478.516383738835</v>
      </c>
    </row>
    <row r="65" spans="1:8" customFormat="1" x14ac:dyDescent="0.25">
      <c r="A65" s="34"/>
      <c r="B65" s="35"/>
      <c r="C65" s="36" t="s">
        <v>142</v>
      </c>
      <c r="D65" s="37">
        <f>SUM(D22:D64)</f>
        <v>301963.71999999997</v>
      </c>
      <c r="E65" s="38">
        <f>SUM(E22:E64)</f>
        <v>1</v>
      </c>
      <c r="F65" s="39">
        <f>SUM(F22:F64)</f>
        <v>93155.85</v>
      </c>
      <c r="G65" s="39">
        <f>SUM(G22:G64)</f>
        <v>4657.7925000000005</v>
      </c>
      <c r="H65" s="40">
        <f>SUM(H22:H64)</f>
        <v>97813.642500000031</v>
      </c>
    </row>
    <row r="66" spans="1:8" customFormat="1" x14ac:dyDescent="0.25">
      <c r="F66" s="41"/>
    </row>
    <row r="67" spans="1:8" customFormat="1" x14ac:dyDescent="0.25">
      <c r="F67" s="41"/>
    </row>
    <row r="68" spans="1:8" customFormat="1" x14ac:dyDescent="0.25">
      <c r="D68" s="44"/>
      <c r="E68" s="41"/>
      <c r="H68" s="42"/>
    </row>
    <row r="69" spans="1:8" customFormat="1" x14ac:dyDescent="0.25">
      <c r="E69" s="41"/>
    </row>
    <row r="70" spans="1:8" customFormat="1" x14ac:dyDescent="0.25"/>
    <row r="71" spans="1:8" customFormat="1" x14ac:dyDescent="0.25"/>
    <row r="72" spans="1:8" customFormat="1" x14ac:dyDescent="0.25"/>
    <row r="73" spans="1:8" customFormat="1" x14ac:dyDescent="0.25"/>
    <row r="74" spans="1:8" customFormat="1" x14ac:dyDescent="0.25"/>
    <row r="75" spans="1:8" customFormat="1" x14ac:dyDescent="0.25"/>
    <row r="76" spans="1:8" customFormat="1" x14ac:dyDescent="0.25"/>
    <row r="77" spans="1:8" customFormat="1" x14ac:dyDescent="0.25"/>
    <row r="78" spans="1:8" customFormat="1" x14ac:dyDescent="0.25"/>
    <row r="79" spans="1:8" customFormat="1" x14ac:dyDescent="0.25"/>
    <row r="80" spans="1:8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spans="1:8" customFormat="1" x14ac:dyDescent="0.25"/>
    <row r="146" spans="1:8" customFormat="1" x14ac:dyDescent="0.25"/>
    <row r="147" spans="1:8" customFormat="1" x14ac:dyDescent="0.25"/>
    <row r="148" spans="1:8" customFormat="1" x14ac:dyDescent="0.25"/>
    <row r="149" spans="1:8" customFormat="1" x14ac:dyDescent="0.25">
      <c r="A149" s="45"/>
      <c r="B149" s="45"/>
      <c r="C149" s="45"/>
      <c r="D149" s="45"/>
      <c r="E149" s="45"/>
    </row>
    <row r="150" spans="1:8" x14ac:dyDescent="0.25">
      <c r="F150"/>
      <c r="G150"/>
      <c r="H150"/>
    </row>
    <row r="151" spans="1:8" x14ac:dyDescent="0.25">
      <c r="F151"/>
      <c r="G151"/>
      <c r="H151"/>
    </row>
    <row r="152" spans="1:8" x14ac:dyDescent="0.25">
      <c r="F152"/>
      <c r="G152"/>
      <c r="H152"/>
    </row>
    <row r="153" spans="1:8" x14ac:dyDescent="0.25">
      <c r="F153"/>
      <c r="G153"/>
      <c r="H153"/>
    </row>
    <row r="154" spans="1:8" x14ac:dyDescent="0.25">
      <c r="F154"/>
      <c r="G154"/>
      <c r="H154"/>
    </row>
    <row r="155" spans="1:8" x14ac:dyDescent="0.25">
      <c r="F155"/>
      <c r="G155"/>
      <c r="H155"/>
    </row>
    <row r="156" spans="1:8" x14ac:dyDescent="0.25">
      <c r="F156"/>
      <c r="G156"/>
      <c r="H156"/>
    </row>
    <row r="157" spans="1:8" x14ac:dyDescent="0.25">
      <c r="F157"/>
      <c r="G157"/>
      <c r="H157"/>
    </row>
    <row r="158" spans="1:8" x14ac:dyDescent="0.25">
      <c r="F158"/>
      <c r="G158"/>
      <c r="H158"/>
    </row>
    <row r="159" spans="1:8" x14ac:dyDescent="0.25">
      <c r="F159"/>
      <c r="G159"/>
      <c r="H159"/>
    </row>
    <row r="160" spans="1:8" x14ac:dyDescent="0.25">
      <c r="F160"/>
      <c r="G160"/>
      <c r="H160"/>
    </row>
    <row r="161" spans="6:8" x14ac:dyDescent="0.25">
      <c r="F161"/>
      <c r="G161"/>
      <c r="H161"/>
    </row>
    <row r="162" spans="6:8" x14ac:dyDescent="0.25">
      <c r="F162"/>
      <c r="G162"/>
      <c r="H162"/>
    </row>
    <row r="163" spans="6:8" x14ac:dyDescent="0.25">
      <c r="F163"/>
      <c r="G163"/>
      <c r="H163"/>
    </row>
    <row r="164" spans="6:8" x14ac:dyDescent="0.25">
      <c r="F164"/>
      <c r="G164"/>
      <c r="H164"/>
    </row>
    <row r="165" spans="6:8" x14ac:dyDescent="0.25">
      <c r="F165"/>
      <c r="G165"/>
      <c r="H165"/>
    </row>
    <row r="166" spans="6:8" x14ac:dyDescent="0.25">
      <c r="F166"/>
      <c r="G166"/>
      <c r="H166"/>
    </row>
    <row r="167" spans="6:8" x14ac:dyDescent="0.25">
      <c r="F167"/>
      <c r="G167"/>
      <c r="H167"/>
    </row>
    <row r="168" spans="6:8" x14ac:dyDescent="0.25">
      <c r="F168"/>
      <c r="G168"/>
      <c r="H168"/>
    </row>
    <row r="169" spans="6:8" x14ac:dyDescent="0.25">
      <c r="F169"/>
      <c r="G169"/>
      <c r="H169"/>
    </row>
    <row r="170" spans="6:8" x14ac:dyDescent="0.25">
      <c r="F170"/>
      <c r="G170"/>
      <c r="H170"/>
    </row>
    <row r="171" spans="6:8" x14ac:dyDescent="0.25">
      <c r="F171"/>
      <c r="G171"/>
      <c r="H171"/>
    </row>
    <row r="172" spans="6:8" x14ac:dyDescent="0.25">
      <c r="F172"/>
      <c r="G172"/>
      <c r="H172"/>
    </row>
    <row r="173" spans="6:8" x14ac:dyDescent="0.25">
      <c r="F173"/>
      <c r="G173"/>
      <c r="H173"/>
    </row>
    <row r="174" spans="6:8" x14ac:dyDescent="0.25">
      <c r="F174"/>
      <c r="G174"/>
      <c r="H174"/>
    </row>
    <row r="175" spans="6:8" x14ac:dyDescent="0.25">
      <c r="F175"/>
      <c r="G175"/>
      <c r="H175"/>
    </row>
    <row r="176" spans="6:8" x14ac:dyDescent="0.25">
      <c r="F176"/>
      <c r="G176"/>
      <c r="H176"/>
    </row>
    <row r="177" spans="6:8" x14ac:dyDescent="0.25">
      <c r="F177"/>
      <c r="G177"/>
      <c r="H177"/>
    </row>
    <row r="178" spans="6:8" x14ac:dyDescent="0.25">
      <c r="F178"/>
      <c r="G178"/>
      <c r="H178"/>
    </row>
    <row r="179" spans="6:8" x14ac:dyDescent="0.25">
      <c r="F179"/>
      <c r="G179"/>
      <c r="H179"/>
    </row>
    <row r="180" spans="6:8" x14ac:dyDescent="0.25">
      <c r="F180"/>
      <c r="G180"/>
      <c r="H180"/>
    </row>
    <row r="181" spans="6:8" x14ac:dyDescent="0.25">
      <c r="F181"/>
      <c r="G181"/>
      <c r="H181"/>
    </row>
    <row r="182" spans="6:8" x14ac:dyDescent="0.25">
      <c r="F182"/>
      <c r="G182"/>
      <c r="H182"/>
    </row>
    <row r="183" spans="6:8" x14ac:dyDescent="0.25">
      <c r="F183"/>
      <c r="G183"/>
      <c r="H183"/>
    </row>
    <row r="184" spans="6:8" x14ac:dyDescent="0.25">
      <c r="F184"/>
      <c r="G184"/>
      <c r="H184"/>
    </row>
    <row r="185" spans="6:8" x14ac:dyDescent="0.25">
      <c r="F185"/>
      <c r="G185"/>
      <c r="H185"/>
    </row>
    <row r="186" spans="6:8" x14ac:dyDescent="0.25">
      <c r="F186"/>
      <c r="G186"/>
      <c r="H186"/>
    </row>
    <row r="187" spans="6:8" x14ac:dyDescent="0.25">
      <c r="F187"/>
      <c r="G187"/>
      <c r="H187"/>
    </row>
    <row r="188" spans="6:8" x14ac:dyDescent="0.25">
      <c r="F188"/>
      <c r="G188"/>
      <c r="H188"/>
    </row>
    <row r="189" spans="6:8" x14ac:dyDescent="0.25">
      <c r="F189"/>
      <c r="G189"/>
      <c r="H189"/>
    </row>
    <row r="190" spans="6:8" x14ac:dyDescent="0.25">
      <c r="F190"/>
      <c r="G190"/>
      <c r="H190"/>
    </row>
    <row r="191" spans="6:8" x14ac:dyDescent="0.25">
      <c r="F191"/>
      <c r="G191"/>
      <c r="H191"/>
    </row>
    <row r="192" spans="6:8" x14ac:dyDescent="0.25">
      <c r="F192"/>
      <c r="G192"/>
      <c r="H192"/>
    </row>
    <row r="193" spans="6:8" x14ac:dyDescent="0.25">
      <c r="F193"/>
      <c r="G193"/>
      <c r="H193"/>
    </row>
    <row r="194" spans="6:8" x14ac:dyDescent="0.25">
      <c r="F194"/>
      <c r="G194"/>
      <c r="H194"/>
    </row>
    <row r="195" spans="6:8" x14ac:dyDescent="0.25">
      <c r="F195"/>
      <c r="G195"/>
      <c r="H195"/>
    </row>
    <row r="196" spans="6:8" x14ac:dyDescent="0.25">
      <c r="F196"/>
      <c r="G196"/>
      <c r="H196"/>
    </row>
    <row r="197" spans="6:8" x14ac:dyDescent="0.25">
      <c r="F197"/>
      <c r="G197"/>
      <c r="H197"/>
    </row>
    <row r="198" spans="6:8" x14ac:dyDescent="0.25">
      <c r="F198"/>
      <c r="G198"/>
      <c r="H198"/>
    </row>
    <row r="199" spans="6:8" x14ac:dyDescent="0.25">
      <c r="F199"/>
      <c r="G199"/>
      <c r="H199"/>
    </row>
    <row r="200" spans="6:8" x14ac:dyDescent="0.25">
      <c r="F200"/>
      <c r="G200"/>
      <c r="H200"/>
    </row>
    <row r="201" spans="6:8" x14ac:dyDescent="0.25">
      <c r="F201"/>
      <c r="G201"/>
      <c r="H201"/>
    </row>
    <row r="202" spans="6:8" x14ac:dyDescent="0.25">
      <c r="F202"/>
      <c r="G202"/>
      <c r="H202"/>
    </row>
    <row r="203" spans="6:8" x14ac:dyDescent="0.25">
      <c r="F203"/>
      <c r="G203"/>
      <c r="H203"/>
    </row>
    <row r="204" spans="6:8" x14ac:dyDescent="0.25">
      <c r="F204"/>
      <c r="G204"/>
      <c r="H204"/>
    </row>
    <row r="205" spans="6:8" x14ac:dyDescent="0.25">
      <c r="F205"/>
      <c r="G205"/>
      <c r="H205"/>
    </row>
    <row r="206" spans="6:8" x14ac:dyDescent="0.25">
      <c r="F206"/>
      <c r="G206"/>
      <c r="H206"/>
    </row>
    <row r="207" spans="6:8" x14ac:dyDescent="0.25">
      <c r="F207"/>
      <c r="G207"/>
      <c r="H207"/>
    </row>
    <row r="208" spans="6:8" x14ac:dyDescent="0.25">
      <c r="F208"/>
      <c r="G208"/>
      <c r="H208"/>
    </row>
    <row r="209" spans="6:8" x14ac:dyDescent="0.25">
      <c r="F209"/>
      <c r="G209"/>
      <c r="H209"/>
    </row>
    <row r="210" spans="6:8" x14ac:dyDescent="0.25">
      <c r="F210"/>
      <c r="G210"/>
      <c r="H210"/>
    </row>
    <row r="211" spans="6:8" x14ac:dyDescent="0.25">
      <c r="F211"/>
      <c r="G211"/>
      <c r="H211"/>
    </row>
    <row r="212" spans="6:8" x14ac:dyDescent="0.25">
      <c r="F212"/>
      <c r="G212"/>
      <c r="H212"/>
    </row>
    <row r="213" spans="6:8" x14ac:dyDescent="0.25">
      <c r="F213"/>
      <c r="G213"/>
      <c r="H213"/>
    </row>
    <row r="214" spans="6:8" x14ac:dyDescent="0.25">
      <c r="F214"/>
      <c r="G214"/>
      <c r="H214"/>
    </row>
    <row r="215" spans="6:8" x14ac:dyDescent="0.25">
      <c r="F215"/>
      <c r="G215"/>
      <c r="H215"/>
    </row>
    <row r="216" spans="6:8" x14ac:dyDescent="0.25">
      <c r="F216"/>
      <c r="G216"/>
      <c r="H216"/>
    </row>
    <row r="217" spans="6:8" x14ac:dyDescent="0.25">
      <c r="F217"/>
      <c r="G217"/>
      <c r="H217"/>
    </row>
    <row r="218" spans="6:8" x14ac:dyDescent="0.25">
      <c r="F218"/>
      <c r="G218"/>
      <c r="H218"/>
    </row>
    <row r="219" spans="6:8" x14ac:dyDescent="0.25">
      <c r="F219"/>
      <c r="G219"/>
      <c r="H219"/>
    </row>
    <row r="220" spans="6:8" x14ac:dyDescent="0.25">
      <c r="F220"/>
      <c r="G220"/>
      <c r="H220"/>
    </row>
    <row r="221" spans="6:8" x14ac:dyDescent="0.25">
      <c r="F221"/>
      <c r="G221"/>
      <c r="H221"/>
    </row>
    <row r="222" spans="6:8" x14ac:dyDescent="0.25">
      <c r="F222"/>
      <c r="G222"/>
      <c r="H222"/>
    </row>
    <row r="223" spans="6:8" x14ac:dyDescent="0.25">
      <c r="F223"/>
      <c r="G223"/>
      <c r="H223"/>
    </row>
    <row r="224" spans="6:8" x14ac:dyDescent="0.25">
      <c r="F224"/>
      <c r="G224"/>
      <c r="H224"/>
    </row>
    <row r="225" spans="6:8" x14ac:dyDescent="0.25">
      <c r="F225"/>
      <c r="G225"/>
      <c r="H225"/>
    </row>
    <row r="226" spans="6:8" x14ac:dyDescent="0.25">
      <c r="F226"/>
      <c r="G226"/>
      <c r="H226"/>
    </row>
    <row r="227" spans="6:8" x14ac:dyDescent="0.25">
      <c r="F227"/>
      <c r="G227"/>
      <c r="H227"/>
    </row>
    <row r="228" spans="6:8" x14ac:dyDescent="0.25">
      <c r="F228"/>
      <c r="G228"/>
      <c r="H228"/>
    </row>
    <row r="229" spans="6:8" x14ac:dyDescent="0.25">
      <c r="F229"/>
      <c r="G229"/>
      <c r="H229"/>
    </row>
    <row r="230" spans="6:8" x14ac:dyDescent="0.25">
      <c r="F230"/>
      <c r="G230"/>
      <c r="H230"/>
    </row>
    <row r="231" spans="6:8" x14ac:dyDescent="0.25">
      <c r="G231"/>
      <c r="H231"/>
    </row>
  </sheetData>
  <mergeCells count="1">
    <mergeCell ref="B1:G1"/>
  </mergeCells>
  <pageMargins left="0.511811024" right="0.511811024" top="0.78740157499999996" bottom="0.78740157499999996" header="0.31496062000000002" footer="0.31496062000000002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D3FE8-6A6E-4CB4-8769-F30DF99C7A25}">
  <dimension ref="A1:L233"/>
  <sheetViews>
    <sheetView topLeftCell="A38" zoomScaleNormal="100" workbookViewId="0">
      <selection activeCell="I68" sqref="I68"/>
    </sheetView>
  </sheetViews>
  <sheetFormatPr defaultColWidth="9.140625" defaultRowHeight="15" x14ac:dyDescent="0.25"/>
  <cols>
    <col min="1" max="1" width="29.5703125" style="45" customWidth="1"/>
    <col min="2" max="2" width="45.28515625" style="45" customWidth="1"/>
    <col min="3" max="3" width="29.7109375" style="45" customWidth="1"/>
    <col min="4" max="4" width="21.42578125" style="45" customWidth="1"/>
    <col min="5" max="5" width="17.42578125" style="45" customWidth="1"/>
    <col min="6" max="6" width="16.42578125" style="45" customWidth="1"/>
    <col min="7" max="7" width="17.140625" style="45" customWidth="1"/>
    <col min="8" max="8" width="16.85546875" style="45" bestFit="1" customWidth="1"/>
    <col min="9" max="16384" width="9.140625" style="45"/>
  </cols>
  <sheetData>
    <row r="1" spans="1:8" customFormat="1" ht="21.75" customHeight="1" x14ac:dyDescent="0.25">
      <c r="A1" s="46"/>
      <c r="B1" s="112" t="s">
        <v>0</v>
      </c>
      <c r="C1" s="113"/>
      <c r="D1" s="113"/>
      <c r="E1" s="113"/>
      <c r="F1" s="113"/>
      <c r="G1" s="114"/>
      <c r="H1" s="47"/>
    </row>
    <row r="2" spans="1:8" customFormat="1" ht="30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3"/>
      <c r="F2" s="4" t="s">
        <v>5</v>
      </c>
      <c r="G2" s="5"/>
      <c r="H2" s="6"/>
    </row>
    <row r="3" spans="1:8" customFormat="1" ht="30.6" customHeight="1" x14ac:dyDescent="0.25">
      <c r="A3" s="7">
        <v>1</v>
      </c>
      <c r="B3" s="8" t="s">
        <v>6</v>
      </c>
      <c r="C3" s="8"/>
      <c r="D3" s="9">
        <v>45839</v>
      </c>
      <c r="E3" s="9"/>
      <c r="F3" s="10">
        <f>532.69+550+5000</f>
        <v>6082.6900000000005</v>
      </c>
      <c r="G3" s="5"/>
      <c r="H3" s="6"/>
    </row>
    <row r="4" spans="1:8" customFormat="1" ht="30.6" customHeight="1" x14ac:dyDescent="0.25">
      <c r="A4" s="7">
        <v>2</v>
      </c>
      <c r="B4" s="8" t="s">
        <v>8</v>
      </c>
      <c r="C4" s="8" t="s">
        <v>9</v>
      </c>
      <c r="D4" s="9">
        <v>45839</v>
      </c>
      <c r="E4" s="9"/>
      <c r="F4" s="10">
        <v>39590</v>
      </c>
      <c r="G4" s="5"/>
      <c r="H4" s="11"/>
    </row>
    <row r="5" spans="1:8" customFormat="1" ht="30.6" customHeight="1" x14ac:dyDescent="0.25">
      <c r="A5" s="7">
        <v>3</v>
      </c>
      <c r="B5" s="8" t="s">
        <v>10</v>
      </c>
      <c r="C5" s="12" t="s">
        <v>11</v>
      </c>
      <c r="D5" s="9">
        <v>45839</v>
      </c>
      <c r="E5" s="9"/>
      <c r="F5" s="10">
        <v>39510.6</v>
      </c>
      <c r="G5" s="5"/>
      <c r="H5" s="11"/>
    </row>
    <row r="6" spans="1:8" customFormat="1" ht="30.6" customHeight="1" x14ac:dyDescent="0.25">
      <c r="A6" s="7">
        <v>4</v>
      </c>
      <c r="B6" s="8" t="s">
        <v>12</v>
      </c>
      <c r="C6" s="8"/>
      <c r="D6" s="9">
        <v>45839</v>
      </c>
      <c r="E6" s="9"/>
      <c r="F6" s="10">
        <v>392.33</v>
      </c>
      <c r="G6" s="5"/>
      <c r="H6" s="6"/>
    </row>
    <row r="7" spans="1:8" customFormat="1" ht="30.6" customHeight="1" x14ac:dyDescent="0.25">
      <c r="A7" s="7">
        <v>5</v>
      </c>
      <c r="B7" s="8" t="s">
        <v>13</v>
      </c>
      <c r="C7" s="8" t="s">
        <v>14</v>
      </c>
      <c r="D7" s="9">
        <v>45839</v>
      </c>
      <c r="E7" s="9"/>
      <c r="F7" s="13">
        <v>1518</v>
      </c>
      <c r="G7" s="5"/>
      <c r="H7" s="6"/>
    </row>
    <row r="8" spans="1:8" customFormat="1" ht="30.6" customHeight="1" x14ac:dyDescent="0.25">
      <c r="A8" s="7">
        <v>6</v>
      </c>
      <c r="B8" s="8" t="s">
        <v>15</v>
      </c>
      <c r="C8" s="8" t="s">
        <v>16</v>
      </c>
      <c r="D8" s="9">
        <v>45839</v>
      </c>
      <c r="E8" s="9"/>
      <c r="F8" s="13">
        <v>2500</v>
      </c>
      <c r="G8" s="5"/>
      <c r="H8" s="6"/>
    </row>
    <row r="9" spans="1:8" customFormat="1" ht="34.5" customHeight="1" x14ac:dyDescent="0.25">
      <c r="A9" s="7">
        <v>7</v>
      </c>
      <c r="B9" s="14" t="s">
        <v>17</v>
      </c>
      <c r="C9" s="12" t="s">
        <v>18</v>
      </c>
      <c r="D9" s="9">
        <v>45839</v>
      </c>
      <c r="E9" s="9"/>
      <c r="F9" s="13">
        <v>1105</v>
      </c>
      <c r="G9" s="5"/>
      <c r="H9" s="6"/>
    </row>
    <row r="10" spans="1:8" customFormat="1" ht="30.6" customHeight="1" x14ac:dyDescent="0.25">
      <c r="A10" s="7">
        <v>8</v>
      </c>
      <c r="B10" s="14" t="s">
        <v>19</v>
      </c>
      <c r="C10" s="14" t="s">
        <v>20</v>
      </c>
      <c r="D10" s="9">
        <v>45839</v>
      </c>
      <c r="E10" s="9"/>
      <c r="F10" s="13">
        <v>147.69999999999999</v>
      </c>
      <c r="G10" s="5"/>
      <c r="H10" s="6"/>
    </row>
    <row r="11" spans="1:8" customFormat="1" ht="30.6" customHeight="1" x14ac:dyDescent="0.25">
      <c r="A11" s="7">
        <v>9</v>
      </c>
      <c r="B11" s="14" t="s">
        <v>149</v>
      </c>
      <c r="C11" s="14" t="s">
        <v>150</v>
      </c>
      <c r="D11" s="9">
        <v>45839</v>
      </c>
      <c r="E11" s="9"/>
      <c r="F11" s="13">
        <v>149.9</v>
      </c>
      <c r="G11" s="5"/>
      <c r="H11" s="6"/>
    </row>
    <row r="12" spans="1:8" customFormat="1" ht="30.6" customHeight="1" x14ac:dyDescent="0.25">
      <c r="A12" s="7">
        <v>10</v>
      </c>
      <c r="B12" s="14" t="s">
        <v>21</v>
      </c>
      <c r="C12" s="12" t="s">
        <v>22</v>
      </c>
      <c r="D12" s="9">
        <v>45839</v>
      </c>
      <c r="E12" s="9"/>
      <c r="F12" s="13">
        <v>385</v>
      </c>
      <c r="G12" s="5"/>
      <c r="H12" s="15"/>
    </row>
    <row r="13" spans="1:8" customFormat="1" ht="30.6" customHeight="1" x14ac:dyDescent="0.25">
      <c r="A13" s="7">
        <v>11</v>
      </c>
      <c r="B13" s="14" t="s">
        <v>23</v>
      </c>
      <c r="C13" s="8"/>
      <c r="D13" s="9">
        <v>45839</v>
      </c>
      <c r="E13" s="9"/>
      <c r="F13" s="13">
        <v>360</v>
      </c>
      <c r="G13" s="5"/>
      <c r="H13" s="6"/>
    </row>
    <row r="14" spans="1:8" customFormat="1" ht="31.5" customHeight="1" x14ac:dyDescent="0.25">
      <c r="A14" s="7">
        <v>12</v>
      </c>
      <c r="B14" s="14" t="s">
        <v>24</v>
      </c>
      <c r="C14" s="12" t="s">
        <v>25</v>
      </c>
      <c r="D14" s="9">
        <v>45839</v>
      </c>
      <c r="E14" s="9"/>
      <c r="F14" s="13">
        <v>346.2</v>
      </c>
      <c r="G14" s="5"/>
      <c r="H14" s="6"/>
    </row>
    <row r="15" spans="1:8" customFormat="1" ht="31.5" customHeight="1" x14ac:dyDescent="0.25">
      <c r="A15" s="7">
        <v>13</v>
      </c>
      <c r="B15" s="14" t="s">
        <v>169</v>
      </c>
      <c r="C15" s="12" t="s">
        <v>170</v>
      </c>
      <c r="D15" s="9">
        <v>45839</v>
      </c>
      <c r="E15" s="9"/>
      <c r="F15" s="13">
        <v>84.99</v>
      </c>
      <c r="G15" s="5"/>
      <c r="H15" s="6"/>
    </row>
    <row r="16" spans="1:8" customFormat="1" ht="31.5" customHeight="1" x14ac:dyDescent="0.25">
      <c r="A16" s="7">
        <v>14</v>
      </c>
      <c r="B16" s="14" t="s">
        <v>171</v>
      </c>
      <c r="C16" s="12" t="s">
        <v>172</v>
      </c>
      <c r="D16" s="9">
        <v>45839</v>
      </c>
      <c r="E16" s="9"/>
      <c r="F16" s="13">
        <v>35.4</v>
      </c>
      <c r="G16" s="5"/>
      <c r="H16" s="6"/>
    </row>
    <row r="17" spans="1:12" customFormat="1" ht="31.5" customHeight="1" x14ac:dyDescent="0.25">
      <c r="A17" s="7">
        <v>15</v>
      </c>
      <c r="B17" s="14" t="s">
        <v>173</v>
      </c>
      <c r="C17" s="12" t="s">
        <v>174</v>
      </c>
      <c r="D17" s="9">
        <v>45839</v>
      </c>
      <c r="E17" s="9"/>
      <c r="F17" s="13">
        <v>500</v>
      </c>
      <c r="G17" s="5"/>
      <c r="H17" s="6"/>
    </row>
    <row r="18" spans="1:12" customFormat="1" ht="31.5" customHeight="1" x14ac:dyDescent="0.25">
      <c r="A18" s="7">
        <v>16</v>
      </c>
      <c r="B18" s="14" t="s">
        <v>26</v>
      </c>
      <c r="C18" s="12" t="s">
        <v>175</v>
      </c>
      <c r="D18" s="9">
        <v>45839</v>
      </c>
      <c r="E18" s="9"/>
      <c r="F18" s="13">
        <v>208</v>
      </c>
      <c r="G18" s="5"/>
      <c r="H18" s="6"/>
    </row>
    <row r="19" spans="1:12" customFormat="1" ht="36.75" customHeight="1" x14ac:dyDescent="0.25">
      <c r="A19" s="7">
        <v>17</v>
      </c>
      <c r="B19" s="14" t="s">
        <v>176</v>
      </c>
      <c r="C19" s="12" t="s">
        <v>177</v>
      </c>
      <c r="D19" s="9">
        <v>45839</v>
      </c>
      <c r="E19" s="9"/>
      <c r="F19" s="13">
        <v>240.04</v>
      </c>
      <c r="G19" s="5"/>
      <c r="H19" s="6"/>
    </row>
    <row r="20" spans="1:12" customFormat="1" ht="42" customHeight="1" x14ac:dyDescent="0.25">
      <c r="A20" s="48"/>
      <c r="B20" s="49" t="s">
        <v>31</v>
      </c>
      <c r="C20" s="50"/>
      <c r="D20" s="51"/>
      <c r="E20" s="52"/>
      <c r="F20" s="53">
        <f>SUM(F3:F19)</f>
        <v>93155.849999999991</v>
      </c>
      <c r="G20" s="54"/>
      <c r="H20" s="55"/>
    </row>
    <row r="21" spans="1:12" customFormat="1" ht="21.75" customHeight="1" x14ac:dyDescent="0.25">
      <c r="A21" s="16" t="s">
        <v>32</v>
      </c>
      <c r="B21" s="17" t="s">
        <v>33</v>
      </c>
      <c r="C21" s="18" t="s">
        <v>34</v>
      </c>
      <c r="D21" s="16" t="s">
        <v>35</v>
      </c>
      <c r="E21" s="16" t="s">
        <v>36</v>
      </c>
      <c r="F21" s="16" t="s">
        <v>37</v>
      </c>
      <c r="G21" s="19" t="s">
        <v>38</v>
      </c>
      <c r="H21" s="18" t="s">
        <v>39</v>
      </c>
    </row>
    <row r="22" spans="1:12" s="72" customFormat="1" ht="15" customHeight="1" x14ac:dyDescent="0.25">
      <c r="A22" s="65" t="s">
        <v>40</v>
      </c>
      <c r="B22" s="66" t="s">
        <v>41</v>
      </c>
      <c r="C22" s="67" t="s">
        <v>42</v>
      </c>
      <c r="D22" s="68">
        <v>4016</v>
      </c>
      <c r="E22" s="69">
        <f>D22/$D$67</f>
        <v>1.2610517083325563E-2</v>
      </c>
      <c r="F22" s="70">
        <f>$F$20*E22</f>
        <v>1174.7434378367136</v>
      </c>
      <c r="G22" s="71">
        <f>F22*5%</f>
        <v>58.737171891835686</v>
      </c>
      <c r="H22" s="71">
        <f t="shared" ref="H22:H66" si="0">F22+G22</f>
        <v>1233.4806097285493</v>
      </c>
    </row>
    <row r="23" spans="1:12" s="74" customFormat="1" x14ac:dyDescent="0.25">
      <c r="A23" s="65" t="s">
        <v>43</v>
      </c>
      <c r="B23" s="73" t="s">
        <v>44</v>
      </c>
      <c r="C23" s="67">
        <v>18778225000139</v>
      </c>
      <c r="D23" s="68">
        <v>8711.2199999999993</v>
      </c>
      <c r="E23" s="69">
        <f t="shared" ref="E23:E66" si="1">D23/$D$67</f>
        <v>2.7353831829334489E-2</v>
      </c>
      <c r="F23" s="70">
        <f t="shared" ref="F23:F66" si="2">$F$20*E23</f>
        <v>2548.1694548187088</v>
      </c>
      <c r="G23" s="71">
        <f t="shared" ref="G23:G66" si="3">F23*5%</f>
        <v>127.40847274093545</v>
      </c>
      <c r="H23" s="71">
        <f t="shared" si="0"/>
        <v>2675.5779275596442</v>
      </c>
    </row>
    <row r="24" spans="1:12" s="74" customFormat="1" x14ac:dyDescent="0.25">
      <c r="A24" s="65" t="s">
        <v>45</v>
      </c>
      <c r="B24" s="73" t="s">
        <v>46</v>
      </c>
      <c r="C24" s="67">
        <v>41993875000119</v>
      </c>
      <c r="D24" s="68">
        <v>3641.8</v>
      </c>
      <c r="E24" s="69">
        <f t="shared" si="1"/>
        <v>1.1435503265451952E-2</v>
      </c>
      <c r="F24" s="70">
        <f t="shared" si="2"/>
        <v>1065.2840268709522</v>
      </c>
      <c r="G24" s="71">
        <f t="shared" si="3"/>
        <v>53.264201343547612</v>
      </c>
      <c r="H24" s="71">
        <f t="shared" si="0"/>
        <v>1118.5482282144999</v>
      </c>
    </row>
    <row r="25" spans="1:12" s="74" customFormat="1" x14ac:dyDescent="0.25">
      <c r="A25" s="65" t="s">
        <v>47</v>
      </c>
      <c r="B25" s="66" t="s">
        <v>48</v>
      </c>
      <c r="C25" s="67">
        <v>24781302000102</v>
      </c>
      <c r="D25" s="68">
        <v>3430</v>
      </c>
      <c r="E25" s="69">
        <f t="shared" si="1"/>
        <v>1.0770436652342301E-2</v>
      </c>
      <c r="F25" s="70">
        <f t="shared" si="2"/>
        <v>1003.3291812201014</v>
      </c>
      <c r="G25" s="71">
        <f t="shared" si="3"/>
        <v>50.166459061005071</v>
      </c>
      <c r="H25" s="71">
        <f t="shared" si="0"/>
        <v>1053.4956402811065</v>
      </c>
    </row>
    <row r="26" spans="1:12" customFormat="1" x14ac:dyDescent="0.25">
      <c r="A26" s="20" t="s">
        <v>161</v>
      </c>
      <c r="B26" s="66" t="s">
        <v>162</v>
      </c>
      <c r="C26" s="22" t="s">
        <v>163</v>
      </c>
      <c r="D26" s="23">
        <v>9403</v>
      </c>
      <c r="E26" s="69">
        <f t="shared" si="1"/>
        <v>2.9526068758593194E-2</v>
      </c>
      <c r="F26" s="70">
        <f t="shared" si="2"/>
        <v>2750.5260323651937</v>
      </c>
      <c r="G26" s="26">
        <f t="shared" si="3"/>
        <v>137.52630161825968</v>
      </c>
      <c r="H26" s="26">
        <f t="shared" si="0"/>
        <v>2888.0523339834535</v>
      </c>
    </row>
    <row r="27" spans="1:12" s="74" customFormat="1" x14ac:dyDescent="0.25">
      <c r="A27" s="65" t="s">
        <v>49</v>
      </c>
      <c r="B27" s="66" t="s">
        <v>50</v>
      </c>
      <c r="C27" s="67">
        <v>38649716000197</v>
      </c>
      <c r="D27" s="68">
        <v>3440</v>
      </c>
      <c r="E27" s="69">
        <f t="shared" si="1"/>
        <v>1.0801837342290821E-2</v>
      </c>
      <c r="F27" s="70">
        <f t="shared" si="2"/>
        <v>1006.2543391828423</v>
      </c>
      <c r="G27" s="71">
        <f t="shared" si="3"/>
        <v>50.312716959142115</v>
      </c>
      <c r="H27" s="71">
        <f t="shared" si="0"/>
        <v>1056.5670561419845</v>
      </c>
    </row>
    <row r="28" spans="1:12" s="74" customFormat="1" x14ac:dyDescent="0.25">
      <c r="A28" s="65" t="s">
        <v>51</v>
      </c>
      <c r="B28" s="66" t="s">
        <v>52</v>
      </c>
      <c r="C28" s="67" t="s">
        <v>53</v>
      </c>
      <c r="D28" s="68">
        <v>4056</v>
      </c>
      <c r="E28" s="69">
        <f t="shared" si="1"/>
        <v>1.2736119843119642E-2</v>
      </c>
      <c r="F28" s="70">
        <f t="shared" si="2"/>
        <v>1186.4440696876768</v>
      </c>
      <c r="G28" s="71">
        <f t="shared" si="3"/>
        <v>59.322203484383841</v>
      </c>
      <c r="H28" s="71">
        <f t="shared" si="0"/>
        <v>1245.7662731720607</v>
      </c>
    </row>
    <row r="29" spans="1:12" s="74" customFormat="1" x14ac:dyDescent="0.25">
      <c r="A29" s="65" t="s">
        <v>54</v>
      </c>
      <c r="B29" s="66" t="s">
        <v>55</v>
      </c>
      <c r="C29" s="67" t="s">
        <v>56</v>
      </c>
      <c r="D29" s="68">
        <v>11580</v>
      </c>
      <c r="E29" s="69">
        <f t="shared" si="1"/>
        <v>3.6361998960385958E-2</v>
      </c>
      <c r="F29" s="70">
        <f t="shared" si="2"/>
        <v>3387.3329208538698</v>
      </c>
      <c r="G29" s="71">
        <f t="shared" si="3"/>
        <v>169.3666460426935</v>
      </c>
      <c r="H29" s="71">
        <f t="shared" si="0"/>
        <v>3556.6995668965633</v>
      </c>
    </row>
    <row r="30" spans="1:12" s="74" customFormat="1" x14ac:dyDescent="0.25">
      <c r="A30" s="65" t="s">
        <v>57</v>
      </c>
      <c r="B30" s="66" t="s">
        <v>58</v>
      </c>
      <c r="C30" s="67" t="s">
        <v>59</v>
      </c>
      <c r="D30" s="68">
        <f>360+360+1510</f>
        <v>2230</v>
      </c>
      <c r="E30" s="69">
        <f t="shared" si="1"/>
        <v>7.002353858519922E-3</v>
      </c>
      <c r="F30" s="70">
        <f t="shared" si="2"/>
        <v>652.31022569120307</v>
      </c>
      <c r="G30" s="71">
        <f t="shared" si="3"/>
        <v>32.615511284560156</v>
      </c>
      <c r="H30" s="71">
        <f t="shared" si="0"/>
        <v>684.92573697576324</v>
      </c>
    </row>
    <row r="31" spans="1:12" s="79" customFormat="1" ht="15.75" customHeight="1" x14ac:dyDescent="0.25">
      <c r="A31" s="65" t="s">
        <v>60</v>
      </c>
      <c r="B31" s="75" t="s">
        <v>61</v>
      </c>
      <c r="C31" s="76" t="s">
        <v>62</v>
      </c>
      <c r="D31" s="68">
        <f>5224+3930</f>
        <v>9154</v>
      </c>
      <c r="E31" s="69">
        <f t="shared" si="1"/>
        <v>2.8744191578875051E-2</v>
      </c>
      <c r="F31" s="70">
        <f t="shared" si="2"/>
        <v>2677.689599092947</v>
      </c>
      <c r="G31" s="71">
        <f t="shared" si="3"/>
        <v>133.88447995464736</v>
      </c>
      <c r="H31" s="77">
        <f t="shared" si="0"/>
        <v>2811.5740790475943</v>
      </c>
      <c r="I31" s="78" t="s">
        <v>63</v>
      </c>
      <c r="L31" s="79" t="s">
        <v>64</v>
      </c>
    </row>
    <row r="32" spans="1:12" s="74" customFormat="1" ht="15.75" customHeight="1" x14ac:dyDescent="0.25">
      <c r="A32" s="65" t="s">
        <v>65</v>
      </c>
      <c r="B32" s="73" t="s">
        <v>66</v>
      </c>
      <c r="C32" s="67" t="s">
        <v>67</v>
      </c>
      <c r="D32" s="68">
        <v>2610</v>
      </c>
      <c r="E32" s="69">
        <f t="shared" si="1"/>
        <v>8.1955800765636747E-3</v>
      </c>
      <c r="F32" s="70">
        <f t="shared" si="2"/>
        <v>763.46622827535418</v>
      </c>
      <c r="G32" s="71">
        <f t="shared" si="3"/>
        <v>38.173311413767713</v>
      </c>
      <c r="H32" s="71">
        <f t="shared" si="0"/>
        <v>801.63953968912188</v>
      </c>
    </row>
    <row r="33" spans="1:12" s="74" customFormat="1" ht="15.75" customHeight="1" x14ac:dyDescent="0.25">
      <c r="A33" s="65" t="s">
        <v>68</v>
      </c>
      <c r="B33" s="73" t="s">
        <v>69</v>
      </c>
      <c r="C33" s="67" t="s">
        <v>70</v>
      </c>
      <c r="D33" s="68">
        <v>5515</v>
      </c>
      <c r="E33" s="69">
        <f t="shared" si="1"/>
        <v>1.7317480506608685E-2</v>
      </c>
      <c r="F33" s="70">
        <f t="shared" si="2"/>
        <v>1613.2246164515625</v>
      </c>
      <c r="G33" s="71">
        <f t="shared" si="3"/>
        <v>80.661230822578133</v>
      </c>
      <c r="H33" s="71">
        <f t="shared" si="0"/>
        <v>1693.8858472741406</v>
      </c>
    </row>
    <row r="34" spans="1:12" s="74" customFormat="1" ht="15.75" customHeight="1" x14ac:dyDescent="0.25">
      <c r="A34" s="65" t="s">
        <v>71</v>
      </c>
      <c r="B34" s="66" t="s">
        <v>72</v>
      </c>
      <c r="C34" s="67">
        <v>17202383000183</v>
      </c>
      <c r="D34" s="68">
        <v>15332</v>
      </c>
      <c r="E34" s="69">
        <f t="shared" si="1"/>
        <v>4.8143537829070597E-2</v>
      </c>
      <c r="F34" s="70">
        <f t="shared" si="2"/>
        <v>4484.8521884742258</v>
      </c>
      <c r="G34" s="71">
        <f t="shared" si="3"/>
        <v>224.24260942371131</v>
      </c>
      <c r="H34" s="71">
        <f t="shared" si="0"/>
        <v>4709.0947978979375</v>
      </c>
    </row>
    <row r="35" spans="1:12" s="74" customFormat="1" ht="15.75" customHeight="1" x14ac:dyDescent="0.25">
      <c r="A35" s="65" t="s">
        <v>73</v>
      </c>
      <c r="B35" s="66" t="s">
        <v>74</v>
      </c>
      <c r="C35" s="67">
        <v>18183488000103</v>
      </c>
      <c r="D35" s="68">
        <v>7238</v>
      </c>
      <c r="E35" s="69">
        <f t="shared" si="1"/>
        <v>2.272781938473865E-2</v>
      </c>
      <c r="F35" s="70">
        <f t="shared" si="2"/>
        <v>2117.229333431806</v>
      </c>
      <c r="G35" s="71">
        <f t="shared" si="3"/>
        <v>105.86146667159031</v>
      </c>
      <c r="H35" s="71">
        <f t="shared" si="0"/>
        <v>2223.0908001033963</v>
      </c>
    </row>
    <row r="36" spans="1:12" s="74" customFormat="1" x14ac:dyDescent="0.25">
      <c r="A36" s="65" t="s">
        <v>75</v>
      </c>
      <c r="B36" s="66" t="s">
        <v>76</v>
      </c>
      <c r="C36" s="67">
        <v>18244070000150</v>
      </c>
      <c r="D36" s="68">
        <v>5941</v>
      </c>
      <c r="E36" s="69">
        <f t="shared" si="1"/>
        <v>1.8655149898415629E-2</v>
      </c>
      <c r="F36" s="70">
        <f t="shared" si="2"/>
        <v>1737.8363456643215</v>
      </c>
      <c r="G36" s="71">
        <f t="shared" si="3"/>
        <v>86.891817283216085</v>
      </c>
      <c r="H36" s="71">
        <f t="shared" si="0"/>
        <v>1824.7281629475376</v>
      </c>
    </row>
    <row r="37" spans="1:12" s="74" customFormat="1" x14ac:dyDescent="0.25">
      <c r="A37" s="65" t="s">
        <v>77</v>
      </c>
      <c r="B37" s="66" t="s">
        <v>78</v>
      </c>
      <c r="C37" s="67">
        <v>18244039000110</v>
      </c>
      <c r="D37" s="68">
        <v>4460</v>
      </c>
      <c r="E37" s="69">
        <f t="shared" si="1"/>
        <v>1.4004707717039844E-2</v>
      </c>
      <c r="F37" s="70">
        <f t="shared" si="2"/>
        <v>1304.6204513824061</v>
      </c>
      <c r="G37" s="71">
        <f t="shared" si="3"/>
        <v>65.231022569120313</v>
      </c>
      <c r="H37" s="71">
        <f t="shared" si="0"/>
        <v>1369.8514739515265</v>
      </c>
    </row>
    <row r="38" spans="1:12" s="74" customFormat="1" x14ac:dyDescent="0.25">
      <c r="A38" s="65" t="s">
        <v>79</v>
      </c>
      <c r="B38" s="66" t="s">
        <v>153</v>
      </c>
      <c r="C38" s="67" t="s">
        <v>154</v>
      </c>
      <c r="D38" s="68">
        <v>4415</v>
      </c>
      <c r="E38" s="69">
        <f t="shared" si="1"/>
        <v>1.3863404612271504E-2</v>
      </c>
      <c r="F38" s="70">
        <f t="shared" si="2"/>
        <v>1291.4572405500721</v>
      </c>
      <c r="G38" s="71">
        <f t="shared" si="3"/>
        <v>64.572862027503604</v>
      </c>
      <c r="H38" s="71">
        <f t="shared" si="0"/>
        <v>1356.0301025775757</v>
      </c>
    </row>
    <row r="39" spans="1:12" s="74" customFormat="1" x14ac:dyDescent="0.25">
      <c r="A39" s="65" t="s">
        <v>81</v>
      </c>
      <c r="B39" s="66" t="s">
        <v>82</v>
      </c>
      <c r="C39" s="67" t="s">
        <v>83</v>
      </c>
      <c r="D39" s="68">
        <v>8673</v>
      </c>
      <c r="E39" s="69">
        <f t="shared" si="1"/>
        <v>2.7233818392351245E-2</v>
      </c>
      <c r="F39" s="70">
        <f t="shared" si="2"/>
        <v>2536.9895010851137</v>
      </c>
      <c r="G39" s="71">
        <f t="shared" si="3"/>
        <v>126.84947505425569</v>
      </c>
      <c r="H39" s="71">
        <f t="shared" si="0"/>
        <v>2663.8389761393696</v>
      </c>
    </row>
    <row r="40" spans="1:12" s="74" customFormat="1" x14ac:dyDescent="0.25">
      <c r="A40" s="65" t="s">
        <v>84</v>
      </c>
      <c r="B40" s="66" t="s">
        <v>155</v>
      </c>
      <c r="C40" s="67" t="s">
        <v>86</v>
      </c>
      <c r="D40" s="68">
        <v>9239</v>
      </c>
      <c r="E40" s="69">
        <f t="shared" si="1"/>
        <v>2.901109744343747E-2</v>
      </c>
      <c r="F40" s="70">
        <f t="shared" si="2"/>
        <v>2702.5534417762442</v>
      </c>
      <c r="G40" s="71">
        <f t="shared" si="3"/>
        <v>135.1276720888122</v>
      </c>
      <c r="H40" s="71">
        <f t="shared" si="0"/>
        <v>2837.6811138650564</v>
      </c>
    </row>
    <row r="41" spans="1:12" s="74" customFormat="1" x14ac:dyDescent="0.25">
      <c r="A41" s="65" t="s">
        <v>87</v>
      </c>
      <c r="B41" s="66" t="s">
        <v>88</v>
      </c>
      <c r="C41" s="67" t="s">
        <v>89</v>
      </c>
      <c r="D41" s="68">
        <v>4892</v>
      </c>
      <c r="E41" s="69">
        <f t="shared" si="1"/>
        <v>1.53612175228159E-2</v>
      </c>
      <c r="F41" s="70">
        <f t="shared" si="2"/>
        <v>1430.9872753728093</v>
      </c>
      <c r="G41" s="71">
        <f t="shared" si="3"/>
        <v>71.549363768640475</v>
      </c>
      <c r="H41" s="71">
        <f t="shared" si="0"/>
        <v>1502.5366391414498</v>
      </c>
    </row>
    <row r="42" spans="1:12" s="74" customFormat="1" x14ac:dyDescent="0.25">
      <c r="A42" s="65" t="s">
        <v>90</v>
      </c>
      <c r="B42" s="66" t="s">
        <v>91</v>
      </c>
      <c r="C42" s="67">
        <v>41497649000147</v>
      </c>
      <c r="D42" s="68">
        <v>2526</v>
      </c>
      <c r="E42" s="69">
        <f t="shared" si="1"/>
        <v>7.9318142809961089E-3</v>
      </c>
      <c r="F42" s="70">
        <f t="shared" si="2"/>
        <v>738.89490138833128</v>
      </c>
      <c r="G42" s="71">
        <f t="shared" si="3"/>
        <v>36.944745069416562</v>
      </c>
      <c r="H42" s="71">
        <f t="shared" si="0"/>
        <v>775.83964645774779</v>
      </c>
    </row>
    <row r="43" spans="1:12" s="63" customFormat="1" x14ac:dyDescent="0.25">
      <c r="A43" s="56" t="s">
        <v>145</v>
      </c>
      <c r="B43" s="57" t="s">
        <v>146</v>
      </c>
      <c r="C43" s="58">
        <v>19209989000176</v>
      </c>
      <c r="D43" s="59">
        <v>15365.8</v>
      </c>
      <c r="E43" s="60">
        <f t="shared" si="1"/>
        <v>4.8249672161096595E-2</v>
      </c>
      <c r="F43" s="61">
        <f t="shared" si="2"/>
        <v>4494.7392223882898</v>
      </c>
      <c r="G43" s="62">
        <f t="shared" si="3"/>
        <v>224.7369611194145</v>
      </c>
      <c r="H43" s="62">
        <f>F43+G43</f>
        <v>4719.4761835077043</v>
      </c>
    </row>
    <row r="44" spans="1:12" s="74" customFormat="1" x14ac:dyDescent="0.25">
      <c r="A44" s="65" t="s">
        <v>92</v>
      </c>
      <c r="B44" s="66" t="s">
        <v>93</v>
      </c>
      <c r="C44" s="67">
        <v>40580071000125</v>
      </c>
      <c r="D44" s="68">
        <v>3600</v>
      </c>
      <c r="E44" s="69">
        <f t="shared" si="1"/>
        <v>1.1304248381467139E-2</v>
      </c>
      <c r="F44" s="70">
        <f t="shared" si="2"/>
        <v>1053.0568665866954</v>
      </c>
      <c r="G44" s="71">
        <f t="shared" si="3"/>
        <v>52.652843329334772</v>
      </c>
      <c r="H44" s="71">
        <f t="shared" si="0"/>
        <v>1105.7097099160301</v>
      </c>
      <c r="I44" s="78" t="s">
        <v>63</v>
      </c>
      <c r="L44" s="74" t="s">
        <v>94</v>
      </c>
    </row>
    <row r="45" spans="1:12" s="74" customFormat="1" x14ac:dyDescent="0.25">
      <c r="A45" s="65" t="s">
        <v>95</v>
      </c>
      <c r="B45" s="66" t="s">
        <v>96</v>
      </c>
      <c r="C45" s="67" t="s">
        <v>97</v>
      </c>
      <c r="D45" s="68">
        <v>3938</v>
      </c>
      <c r="E45" s="69">
        <f t="shared" si="1"/>
        <v>1.2365591701727109E-2</v>
      </c>
      <c r="F45" s="70">
        <f t="shared" si="2"/>
        <v>1151.9272057273351</v>
      </c>
      <c r="G45" s="71">
        <f t="shared" si="3"/>
        <v>57.59636028636676</v>
      </c>
      <c r="H45" s="71">
        <f t="shared" si="0"/>
        <v>1209.5235660137018</v>
      </c>
    </row>
    <row r="46" spans="1:12" s="74" customFormat="1" x14ac:dyDescent="0.25">
      <c r="A46" s="65" t="s">
        <v>98</v>
      </c>
      <c r="B46" s="66" t="s">
        <v>167</v>
      </c>
      <c r="C46" s="67" t="s">
        <v>168</v>
      </c>
      <c r="D46" s="68">
        <v>3707</v>
      </c>
      <c r="E46" s="69">
        <f t="shared" si="1"/>
        <v>1.1640235763916301E-2</v>
      </c>
      <c r="F46" s="70">
        <f t="shared" si="2"/>
        <v>1084.3560567880222</v>
      </c>
      <c r="G46" s="71">
        <f t="shared" si="3"/>
        <v>54.217802839401116</v>
      </c>
      <c r="H46" s="71">
        <f t="shared" si="0"/>
        <v>1138.5738596274234</v>
      </c>
    </row>
    <row r="47" spans="1:12" s="74" customFormat="1" x14ac:dyDescent="0.25">
      <c r="A47" s="65" t="s">
        <v>100</v>
      </c>
      <c r="B47" s="66" t="s">
        <v>101</v>
      </c>
      <c r="C47" s="67">
        <v>42109766000159</v>
      </c>
      <c r="D47" s="68">
        <v>5117</v>
      </c>
      <c r="E47" s="69">
        <f t="shared" si="1"/>
        <v>1.6067733046657595E-2</v>
      </c>
      <c r="F47" s="70">
        <f t="shared" si="2"/>
        <v>1496.8033295344778</v>
      </c>
      <c r="G47" s="71">
        <f t="shared" si="3"/>
        <v>74.840166476723894</v>
      </c>
      <c r="H47" s="71">
        <f t="shared" si="0"/>
        <v>1571.6434960112017</v>
      </c>
    </row>
    <row r="48" spans="1:12" s="74" customFormat="1" x14ac:dyDescent="0.25">
      <c r="A48" s="65" t="s">
        <v>102</v>
      </c>
      <c r="B48" s="66" t="s">
        <v>99</v>
      </c>
      <c r="C48" s="67">
        <v>18788190000119</v>
      </c>
      <c r="D48" s="68">
        <v>14717</v>
      </c>
      <c r="E48" s="69">
        <f t="shared" si="1"/>
        <v>4.6212395397236629E-2</v>
      </c>
      <c r="F48" s="70">
        <f t="shared" si="2"/>
        <v>4304.9549737656653</v>
      </c>
      <c r="G48" s="71">
        <f t="shared" si="3"/>
        <v>215.24774868828328</v>
      </c>
      <c r="H48" s="71">
        <f t="shared" si="0"/>
        <v>4520.2027224539488</v>
      </c>
    </row>
    <row r="49" spans="1:8" s="74" customFormat="1" ht="13.5" customHeight="1" x14ac:dyDescent="0.25">
      <c r="A49" s="65" t="s">
        <v>103</v>
      </c>
      <c r="B49" s="66" t="s">
        <v>104</v>
      </c>
      <c r="C49" s="67">
        <v>32302613000170</v>
      </c>
      <c r="D49" s="68">
        <v>5439</v>
      </c>
      <c r="E49" s="69">
        <f t="shared" si="1"/>
        <v>1.7078835262999935E-2</v>
      </c>
      <c r="F49" s="70">
        <f t="shared" si="2"/>
        <v>1590.9934159347324</v>
      </c>
      <c r="G49" s="71">
        <f t="shared" si="3"/>
        <v>79.549670796736621</v>
      </c>
      <c r="H49" s="71">
        <f t="shared" si="0"/>
        <v>1670.543086731469</v>
      </c>
    </row>
    <row r="50" spans="1:8" s="74" customFormat="1" x14ac:dyDescent="0.25">
      <c r="A50" s="65" t="s">
        <v>105</v>
      </c>
      <c r="B50" s="66" t="s">
        <v>106</v>
      </c>
      <c r="C50" s="67">
        <v>28616552000148</v>
      </c>
      <c r="D50" s="68">
        <v>4123.71</v>
      </c>
      <c r="E50" s="69">
        <f t="shared" si="1"/>
        <v>1.2948733914761069E-2</v>
      </c>
      <c r="F50" s="70">
        <f t="shared" si="2"/>
        <v>1206.2503142533949</v>
      </c>
      <c r="G50" s="71">
        <f t="shared" si="3"/>
        <v>60.31251571266975</v>
      </c>
      <c r="H50" s="71">
        <f t="shared" si="0"/>
        <v>1266.5628299660646</v>
      </c>
    </row>
    <row r="51" spans="1:8" s="74" customFormat="1" x14ac:dyDescent="0.25">
      <c r="A51" s="65" t="s">
        <v>107</v>
      </c>
      <c r="B51" s="66" t="s">
        <v>108</v>
      </c>
      <c r="C51" s="67">
        <v>42579914000107</v>
      </c>
      <c r="D51" s="68">
        <v>4986.3599999999997</v>
      </c>
      <c r="E51" s="69">
        <f t="shared" si="1"/>
        <v>1.5657514433170133E-2</v>
      </c>
      <c r="F51" s="70">
        <f t="shared" si="2"/>
        <v>1458.5890659092317</v>
      </c>
      <c r="G51" s="71">
        <f t="shared" si="3"/>
        <v>72.929453295461585</v>
      </c>
      <c r="H51" s="71">
        <f t="shared" si="0"/>
        <v>1531.5185192046933</v>
      </c>
    </row>
    <row r="52" spans="1:8" s="74" customFormat="1" x14ac:dyDescent="0.25">
      <c r="A52" s="65" t="s">
        <v>109</v>
      </c>
      <c r="B52" s="66" t="s">
        <v>110</v>
      </c>
      <c r="C52" s="67" t="s">
        <v>111</v>
      </c>
      <c r="D52" s="68">
        <v>7462</v>
      </c>
      <c r="E52" s="69">
        <f t="shared" si="1"/>
        <v>2.3431194839585497E-2</v>
      </c>
      <c r="F52" s="70">
        <f t="shared" si="2"/>
        <v>2182.7528717972004</v>
      </c>
      <c r="G52" s="71">
        <f t="shared" si="3"/>
        <v>109.13764358986003</v>
      </c>
      <c r="H52" s="71">
        <f t="shared" si="0"/>
        <v>2291.8905153870605</v>
      </c>
    </row>
    <row r="53" spans="1:8" s="74" customFormat="1" x14ac:dyDescent="0.25">
      <c r="A53" s="65" t="s">
        <v>112</v>
      </c>
      <c r="B53" s="66" t="s">
        <v>113</v>
      </c>
      <c r="C53" s="67" t="s">
        <v>114</v>
      </c>
      <c r="D53" s="68">
        <v>5525</v>
      </c>
      <c r="E53" s="69">
        <f t="shared" si="1"/>
        <v>1.7348881196557205E-2</v>
      </c>
      <c r="F53" s="70">
        <f t="shared" si="2"/>
        <v>1616.1497744143032</v>
      </c>
      <c r="G53" s="71">
        <f t="shared" si="3"/>
        <v>80.80748872071517</v>
      </c>
      <c r="H53" s="71">
        <f t="shared" si="0"/>
        <v>1696.9572631350184</v>
      </c>
    </row>
    <row r="54" spans="1:8" s="74" customFormat="1" x14ac:dyDescent="0.25">
      <c r="A54" s="65" t="s">
        <v>115</v>
      </c>
      <c r="B54" s="66" t="s">
        <v>116</v>
      </c>
      <c r="C54" s="67">
        <v>26480299000112</v>
      </c>
      <c r="D54" s="68"/>
      <c r="E54" s="69">
        <f t="shared" si="1"/>
        <v>0</v>
      </c>
      <c r="F54" s="70">
        <f t="shared" si="2"/>
        <v>0</v>
      </c>
      <c r="G54" s="71">
        <f t="shared" si="3"/>
        <v>0</v>
      </c>
      <c r="H54" s="71">
        <f t="shared" si="0"/>
        <v>0</v>
      </c>
    </row>
    <row r="55" spans="1:8" s="74" customFormat="1" x14ac:dyDescent="0.25">
      <c r="A55" s="65" t="s">
        <v>179</v>
      </c>
      <c r="B55" s="66" t="s">
        <v>180</v>
      </c>
      <c r="C55" s="67" t="s">
        <v>181</v>
      </c>
      <c r="D55" s="68"/>
      <c r="E55" s="69">
        <f t="shared" si="1"/>
        <v>0</v>
      </c>
      <c r="F55" s="70">
        <f t="shared" si="2"/>
        <v>0</v>
      </c>
      <c r="G55" s="71">
        <f t="shared" si="3"/>
        <v>0</v>
      </c>
      <c r="H55" s="71">
        <f t="shared" si="0"/>
        <v>0</v>
      </c>
    </row>
    <row r="56" spans="1:8" s="74" customFormat="1" x14ac:dyDescent="0.25">
      <c r="A56" s="65" t="s">
        <v>117</v>
      </c>
      <c r="B56" s="66" t="s">
        <v>118</v>
      </c>
      <c r="C56" s="67" t="s">
        <v>119</v>
      </c>
      <c r="D56" s="68">
        <v>4943</v>
      </c>
      <c r="E56" s="69">
        <f t="shared" si="1"/>
        <v>1.552136104155335E-2</v>
      </c>
      <c r="F56" s="70">
        <f t="shared" si="2"/>
        <v>1445.9055809827876</v>
      </c>
      <c r="G56" s="71">
        <f t="shared" si="3"/>
        <v>72.295279049139381</v>
      </c>
      <c r="H56" s="71">
        <f t="shared" si="0"/>
        <v>1518.200860031927</v>
      </c>
    </row>
    <row r="57" spans="1:8" s="74" customFormat="1" x14ac:dyDescent="0.25">
      <c r="A57" s="65" t="s">
        <v>120</v>
      </c>
      <c r="B57" s="66" t="s">
        <v>121</v>
      </c>
      <c r="C57" s="67">
        <v>12997366000166</v>
      </c>
      <c r="D57" s="68">
        <v>5160</v>
      </c>
      <c r="E57" s="69">
        <f t="shared" si="1"/>
        <v>1.620275601343623E-2</v>
      </c>
      <c r="F57" s="70">
        <f t="shared" si="2"/>
        <v>1509.3815087742632</v>
      </c>
      <c r="G57" s="71">
        <f t="shared" si="3"/>
        <v>75.469075438713162</v>
      </c>
      <c r="H57" s="71">
        <f t="shared" si="0"/>
        <v>1584.8505842129764</v>
      </c>
    </row>
    <row r="58" spans="1:8" s="74" customFormat="1" ht="16.5" customHeight="1" x14ac:dyDescent="0.25">
      <c r="A58" s="65" t="s">
        <v>122</v>
      </c>
      <c r="B58" s="66" t="s">
        <v>123</v>
      </c>
      <c r="C58" s="67" t="s">
        <v>124</v>
      </c>
      <c r="D58" s="68">
        <v>6586</v>
      </c>
      <c r="E58" s="69">
        <f t="shared" si="1"/>
        <v>2.0680494400095159E-2</v>
      </c>
      <c r="F58" s="70">
        <f t="shared" si="2"/>
        <v>1926.5090342611045</v>
      </c>
      <c r="G58" s="71">
        <f t="shared" si="3"/>
        <v>96.32545171305523</v>
      </c>
      <c r="H58" s="71">
        <f t="shared" si="0"/>
        <v>2022.8344859741596</v>
      </c>
    </row>
    <row r="59" spans="1:8" customFormat="1" x14ac:dyDescent="0.25">
      <c r="A59" s="20" t="s">
        <v>125</v>
      </c>
      <c r="B59" s="21" t="s">
        <v>126</v>
      </c>
      <c r="C59" s="22">
        <v>11884518000151</v>
      </c>
      <c r="D59" s="23">
        <v>5644</v>
      </c>
      <c r="E59" s="69">
        <f t="shared" si="1"/>
        <v>1.772254940694459E-2</v>
      </c>
      <c r="F59" s="70">
        <f t="shared" si="2"/>
        <v>1650.959154170919</v>
      </c>
      <c r="G59" s="26">
        <f t="shared" si="3"/>
        <v>82.547957708545951</v>
      </c>
      <c r="H59" s="26">
        <f t="shared" si="0"/>
        <v>1733.5071118794649</v>
      </c>
    </row>
    <row r="60" spans="1:8" s="63" customFormat="1" x14ac:dyDescent="0.25">
      <c r="A60" s="56" t="s">
        <v>147</v>
      </c>
      <c r="B60" s="57" t="s">
        <v>148</v>
      </c>
      <c r="C60" s="58">
        <v>41142377000162</v>
      </c>
      <c r="D60" s="59">
        <v>1134.82</v>
      </c>
      <c r="E60" s="60">
        <f t="shared" si="1"/>
        <v>3.5634130967379268E-3</v>
      </c>
      <c r="F60" s="61">
        <f t="shared" si="2"/>
        <v>331.95277592775375</v>
      </c>
      <c r="G60" s="62">
        <f t="shared" si="3"/>
        <v>16.597638796387688</v>
      </c>
      <c r="H60" s="62">
        <f t="shared" si="0"/>
        <v>348.55041472414143</v>
      </c>
    </row>
    <row r="61" spans="1:8" s="74" customFormat="1" x14ac:dyDescent="0.25">
      <c r="A61" s="65" t="s">
        <v>127</v>
      </c>
      <c r="B61" s="66" t="s">
        <v>128</v>
      </c>
      <c r="C61" s="67">
        <v>36188051000136</v>
      </c>
      <c r="D61" s="68">
        <v>6936</v>
      </c>
      <c r="E61" s="69">
        <f t="shared" si="1"/>
        <v>2.1779518548293353E-2</v>
      </c>
      <c r="F61" s="70">
        <f t="shared" si="2"/>
        <v>2028.8895629570331</v>
      </c>
      <c r="G61" s="71">
        <f t="shared" si="3"/>
        <v>101.44447814785167</v>
      </c>
      <c r="H61" s="71">
        <f t="shared" si="0"/>
        <v>2130.3340411048848</v>
      </c>
    </row>
    <row r="62" spans="1:8" s="74" customFormat="1" x14ac:dyDescent="0.25">
      <c r="A62" s="65" t="s">
        <v>129</v>
      </c>
      <c r="B62" s="66" t="s">
        <v>130</v>
      </c>
      <c r="C62" s="67" t="s">
        <v>131</v>
      </c>
      <c r="D62" s="68">
        <f>7425*40%</f>
        <v>2970</v>
      </c>
      <c r="E62" s="69">
        <f t="shared" si="1"/>
        <v>9.3260049147103896E-3</v>
      </c>
      <c r="F62" s="70">
        <f t="shared" si="2"/>
        <v>868.77191493402381</v>
      </c>
      <c r="G62" s="71">
        <f t="shared" si="3"/>
        <v>43.438595746701196</v>
      </c>
      <c r="H62" s="71">
        <f t="shared" si="0"/>
        <v>912.21051068072506</v>
      </c>
    </row>
    <row r="63" spans="1:8" s="74" customFormat="1" x14ac:dyDescent="0.25">
      <c r="A63" s="65" t="s">
        <v>132</v>
      </c>
      <c r="B63" s="66" t="s">
        <v>133</v>
      </c>
      <c r="C63" s="67">
        <v>18741082000190</v>
      </c>
      <c r="D63" s="68">
        <v>12183</v>
      </c>
      <c r="E63" s="69">
        <f t="shared" si="1"/>
        <v>3.825546056428171E-2</v>
      </c>
      <c r="F63" s="70">
        <f t="shared" si="2"/>
        <v>3563.719946007142</v>
      </c>
      <c r="G63" s="71">
        <f t="shared" si="3"/>
        <v>178.18599730035712</v>
      </c>
      <c r="H63" s="71">
        <f t="shared" si="0"/>
        <v>3741.905943307499</v>
      </c>
    </row>
    <row r="64" spans="1:8" s="74" customFormat="1" x14ac:dyDescent="0.25">
      <c r="A64" s="65" t="s">
        <v>134</v>
      </c>
      <c r="B64" s="66" t="s">
        <v>135</v>
      </c>
      <c r="C64" s="67" t="s">
        <v>136</v>
      </c>
      <c r="D64" s="68">
        <v>4814</v>
      </c>
      <c r="E64" s="69">
        <f t="shared" si="1"/>
        <v>1.5116292141217446E-2</v>
      </c>
      <c r="F64" s="70">
        <f t="shared" si="2"/>
        <v>1408.1710432634311</v>
      </c>
      <c r="G64" s="71">
        <f t="shared" si="3"/>
        <v>70.408552163171564</v>
      </c>
      <c r="H64" s="71">
        <f t="shared" si="0"/>
        <v>1478.5795954266027</v>
      </c>
    </row>
    <row r="65" spans="1:8" s="74" customFormat="1" x14ac:dyDescent="0.25">
      <c r="A65" s="65" t="s">
        <v>137</v>
      </c>
      <c r="B65" s="66" t="s">
        <v>138</v>
      </c>
      <c r="C65" s="67" t="s">
        <v>139</v>
      </c>
      <c r="D65" s="68">
        <v>3476.86</v>
      </c>
      <c r="E65" s="69">
        <f t="shared" si="1"/>
        <v>1.0917580285441065E-2</v>
      </c>
      <c r="F65" s="70">
        <f t="shared" si="2"/>
        <v>1017.0364714335049</v>
      </c>
      <c r="G65" s="71">
        <f t="shared" si="3"/>
        <v>50.851823571675247</v>
      </c>
      <c r="H65" s="71">
        <f t="shared" si="0"/>
        <v>1067.88829500518</v>
      </c>
    </row>
    <row r="66" spans="1:8" s="74" customFormat="1" x14ac:dyDescent="0.25">
      <c r="A66" s="65" t="s">
        <v>140</v>
      </c>
      <c r="B66" s="73" t="s">
        <v>141</v>
      </c>
      <c r="C66" s="67">
        <v>11884518000151</v>
      </c>
      <c r="D66" s="68">
        <f>81377.44-14717-3314-9239+4126.33-9403+11302</f>
        <v>60132.770000000004</v>
      </c>
      <c r="E66" s="69">
        <f t="shared" si="1"/>
        <v>0.18882104665156549</v>
      </c>
      <c r="F66" s="70">
        <f t="shared" si="2"/>
        <v>17589.785098716235</v>
      </c>
      <c r="G66" s="71">
        <f t="shared" si="3"/>
        <v>879.4892549358118</v>
      </c>
      <c r="H66" s="71">
        <f t="shared" si="0"/>
        <v>18469.274353652047</v>
      </c>
    </row>
    <row r="67" spans="1:8" customFormat="1" x14ac:dyDescent="0.25">
      <c r="A67" s="34"/>
      <c r="B67" s="35"/>
      <c r="C67" s="36" t="s">
        <v>142</v>
      </c>
      <c r="D67" s="37">
        <f>SUM(D22:D66)</f>
        <v>318464.33999999997</v>
      </c>
      <c r="E67" s="38">
        <f>SUM(E22:E66)</f>
        <v>1</v>
      </c>
      <c r="F67" s="39">
        <f>SUM(F22:F66)</f>
        <v>93155.85</v>
      </c>
      <c r="G67" s="39">
        <f>SUM(G22:G66)</f>
        <v>4657.7925000000005</v>
      </c>
      <c r="H67" s="40">
        <f>SUM(H22:H66)</f>
        <v>97813.642500000016</v>
      </c>
    </row>
    <row r="68" spans="1:8" customFormat="1" x14ac:dyDescent="0.25">
      <c r="F68" s="41"/>
    </row>
    <row r="69" spans="1:8" customFormat="1" x14ac:dyDescent="0.25">
      <c r="F69" s="41"/>
    </row>
    <row r="70" spans="1:8" customFormat="1" x14ac:dyDescent="0.25">
      <c r="D70" s="44"/>
      <c r="E70" s="41"/>
      <c r="H70" s="42"/>
    </row>
    <row r="71" spans="1:8" customFormat="1" x14ac:dyDescent="0.25">
      <c r="E71" s="41"/>
    </row>
    <row r="72" spans="1:8" customFormat="1" x14ac:dyDescent="0.25"/>
    <row r="73" spans="1:8" customFormat="1" x14ac:dyDescent="0.25"/>
    <row r="74" spans="1:8" customFormat="1" x14ac:dyDescent="0.25"/>
    <row r="75" spans="1:8" customFormat="1" x14ac:dyDescent="0.25"/>
    <row r="76" spans="1:8" customFormat="1" x14ac:dyDescent="0.25"/>
    <row r="77" spans="1:8" customFormat="1" x14ac:dyDescent="0.25"/>
    <row r="78" spans="1:8" customFormat="1" x14ac:dyDescent="0.25"/>
    <row r="79" spans="1:8" customFormat="1" x14ac:dyDescent="0.25"/>
    <row r="80" spans="1:8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spans="1:8" customFormat="1" x14ac:dyDescent="0.25"/>
    <row r="146" spans="1:8" customFormat="1" x14ac:dyDescent="0.25"/>
    <row r="147" spans="1:8" customFormat="1" x14ac:dyDescent="0.25"/>
    <row r="148" spans="1:8" customFormat="1" x14ac:dyDescent="0.25"/>
    <row r="149" spans="1:8" customFormat="1" x14ac:dyDescent="0.25"/>
    <row r="150" spans="1:8" customFormat="1" x14ac:dyDescent="0.25"/>
    <row r="151" spans="1:8" customFormat="1" x14ac:dyDescent="0.25">
      <c r="A151" s="45"/>
      <c r="B151" s="45"/>
      <c r="C151" s="45"/>
      <c r="D151" s="45"/>
      <c r="E151" s="45"/>
    </row>
    <row r="152" spans="1:8" x14ac:dyDescent="0.25">
      <c r="F152"/>
      <c r="G152"/>
      <c r="H152"/>
    </row>
    <row r="153" spans="1:8" x14ac:dyDescent="0.25">
      <c r="F153"/>
      <c r="G153"/>
      <c r="H153"/>
    </row>
    <row r="154" spans="1:8" x14ac:dyDescent="0.25">
      <c r="F154"/>
      <c r="G154"/>
      <c r="H154"/>
    </row>
    <row r="155" spans="1:8" x14ac:dyDescent="0.25">
      <c r="F155"/>
      <c r="G155"/>
      <c r="H155"/>
    </row>
    <row r="156" spans="1:8" x14ac:dyDescent="0.25">
      <c r="F156"/>
      <c r="G156"/>
      <c r="H156"/>
    </row>
    <row r="157" spans="1:8" x14ac:dyDescent="0.25">
      <c r="F157"/>
      <c r="G157"/>
      <c r="H157"/>
    </row>
    <row r="158" spans="1:8" x14ac:dyDescent="0.25">
      <c r="F158"/>
      <c r="G158"/>
      <c r="H158"/>
    </row>
    <row r="159" spans="1:8" x14ac:dyDescent="0.25">
      <c r="F159"/>
      <c r="G159"/>
      <c r="H159"/>
    </row>
    <row r="160" spans="1:8" x14ac:dyDescent="0.25">
      <c r="F160"/>
      <c r="G160"/>
      <c r="H160"/>
    </row>
    <row r="161" spans="6:8" x14ac:dyDescent="0.25">
      <c r="F161"/>
      <c r="G161"/>
      <c r="H161"/>
    </row>
    <row r="162" spans="6:8" x14ac:dyDescent="0.25">
      <c r="F162"/>
      <c r="G162"/>
      <c r="H162"/>
    </row>
    <row r="163" spans="6:8" x14ac:dyDescent="0.25">
      <c r="F163"/>
      <c r="G163"/>
      <c r="H163"/>
    </row>
    <row r="164" spans="6:8" x14ac:dyDescent="0.25">
      <c r="F164"/>
      <c r="G164"/>
      <c r="H164"/>
    </row>
    <row r="165" spans="6:8" x14ac:dyDescent="0.25">
      <c r="F165"/>
      <c r="G165"/>
      <c r="H165"/>
    </row>
    <row r="166" spans="6:8" x14ac:dyDescent="0.25">
      <c r="F166"/>
      <c r="G166"/>
      <c r="H166"/>
    </row>
    <row r="167" spans="6:8" x14ac:dyDescent="0.25">
      <c r="F167"/>
      <c r="G167"/>
      <c r="H167"/>
    </row>
    <row r="168" spans="6:8" x14ac:dyDescent="0.25">
      <c r="F168"/>
      <c r="G168"/>
      <c r="H168"/>
    </row>
    <row r="169" spans="6:8" x14ac:dyDescent="0.25">
      <c r="F169"/>
      <c r="G169"/>
      <c r="H169"/>
    </row>
    <row r="170" spans="6:8" x14ac:dyDescent="0.25">
      <c r="F170"/>
      <c r="G170"/>
      <c r="H170"/>
    </row>
    <row r="171" spans="6:8" x14ac:dyDescent="0.25">
      <c r="F171"/>
      <c r="G171"/>
      <c r="H171"/>
    </row>
    <row r="172" spans="6:8" x14ac:dyDescent="0.25">
      <c r="F172"/>
      <c r="G172"/>
      <c r="H172"/>
    </row>
    <row r="173" spans="6:8" x14ac:dyDescent="0.25">
      <c r="F173"/>
      <c r="G173"/>
      <c r="H173"/>
    </row>
    <row r="174" spans="6:8" x14ac:dyDescent="0.25">
      <c r="F174"/>
      <c r="G174"/>
      <c r="H174"/>
    </row>
    <row r="175" spans="6:8" x14ac:dyDescent="0.25">
      <c r="F175"/>
      <c r="G175"/>
      <c r="H175"/>
    </row>
    <row r="176" spans="6:8" x14ac:dyDescent="0.25">
      <c r="F176"/>
      <c r="G176"/>
      <c r="H176"/>
    </row>
    <row r="177" spans="6:8" x14ac:dyDescent="0.25">
      <c r="F177"/>
      <c r="G177"/>
      <c r="H177"/>
    </row>
    <row r="178" spans="6:8" x14ac:dyDescent="0.25">
      <c r="F178"/>
      <c r="G178"/>
      <c r="H178"/>
    </row>
    <row r="179" spans="6:8" x14ac:dyDescent="0.25">
      <c r="F179"/>
      <c r="G179"/>
      <c r="H179"/>
    </row>
    <row r="180" spans="6:8" x14ac:dyDescent="0.25">
      <c r="F180"/>
      <c r="G180"/>
      <c r="H180"/>
    </row>
    <row r="181" spans="6:8" x14ac:dyDescent="0.25">
      <c r="F181"/>
      <c r="G181"/>
      <c r="H181"/>
    </row>
    <row r="182" spans="6:8" x14ac:dyDescent="0.25">
      <c r="F182"/>
      <c r="G182"/>
      <c r="H182"/>
    </row>
    <row r="183" spans="6:8" x14ac:dyDescent="0.25">
      <c r="F183"/>
      <c r="G183"/>
      <c r="H183"/>
    </row>
    <row r="184" spans="6:8" x14ac:dyDescent="0.25">
      <c r="F184"/>
      <c r="G184"/>
      <c r="H184"/>
    </row>
    <row r="185" spans="6:8" x14ac:dyDescent="0.25">
      <c r="F185"/>
      <c r="G185"/>
      <c r="H185"/>
    </row>
    <row r="186" spans="6:8" x14ac:dyDescent="0.25">
      <c r="F186"/>
      <c r="G186"/>
      <c r="H186"/>
    </row>
    <row r="187" spans="6:8" x14ac:dyDescent="0.25">
      <c r="F187"/>
      <c r="G187"/>
      <c r="H187"/>
    </row>
    <row r="188" spans="6:8" x14ac:dyDescent="0.25">
      <c r="F188"/>
      <c r="G188"/>
      <c r="H188"/>
    </row>
    <row r="189" spans="6:8" x14ac:dyDescent="0.25">
      <c r="F189"/>
      <c r="G189"/>
      <c r="H189"/>
    </row>
    <row r="190" spans="6:8" x14ac:dyDescent="0.25">
      <c r="F190"/>
      <c r="G190"/>
      <c r="H190"/>
    </row>
    <row r="191" spans="6:8" x14ac:dyDescent="0.25">
      <c r="F191"/>
      <c r="G191"/>
      <c r="H191"/>
    </row>
    <row r="192" spans="6:8" x14ac:dyDescent="0.25">
      <c r="F192"/>
      <c r="G192"/>
      <c r="H192"/>
    </row>
    <row r="193" spans="6:8" x14ac:dyDescent="0.25">
      <c r="F193"/>
      <c r="G193"/>
      <c r="H193"/>
    </row>
    <row r="194" spans="6:8" x14ac:dyDescent="0.25">
      <c r="F194"/>
      <c r="G194"/>
      <c r="H194"/>
    </row>
    <row r="195" spans="6:8" x14ac:dyDescent="0.25">
      <c r="F195"/>
      <c r="G195"/>
      <c r="H195"/>
    </row>
    <row r="196" spans="6:8" x14ac:dyDescent="0.25">
      <c r="F196"/>
      <c r="G196"/>
      <c r="H196"/>
    </row>
    <row r="197" spans="6:8" x14ac:dyDescent="0.25">
      <c r="F197"/>
      <c r="G197"/>
      <c r="H197"/>
    </row>
    <row r="198" spans="6:8" x14ac:dyDescent="0.25">
      <c r="F198"/>
      <c r="G198"/>
      <c r="H198"/>
    </row>
    <row r="199" spans="6:8" x14ac:dyDescent="0.25">
      <c r="F199"/>
      <c r="G199"/>
      <c r="H199"/>
    </row>
    <row r="200" spans="6:8" x14ac:dyDescent="0.25">
      <c r="F200"/>
      <c r="G200"/>
      <c r="H200"/>
    </row>
    <row r="201" spans="6:8" x14ac:dyDescent="0.25">
      <c r="F201"/>
      <c r="G201"/>
      <c r="H201"/>
    </row>
    <row r="202" spans="6:8" x14ac:dyDescent="0.25">
      <c r="F202"/>
      <c r="G202"/>
      <c r="H202"/>
    </row>
    <row r="203" spans="6:8" x14ac:dyDescent="0.25">
      <c r="F203"/>
      <c r="G203"/>
      <c r="H203"/>
    </row>
    <row r="204" spans="6:8" x14ac:dyDescent="0.25">
      <c r="F204"/>
      <c r="G204"/>
      <c r="H204"/>
    </row>
    <row r="205" spans="6:8" x14ac:dyDescent="0.25">
      <c r="F205"/>
      <c r="G205"/>
      <c r="H205"/>
    </row>
    <row r="206" spans="6:8" x14ac:dyDescent="0.25">
      <c r="F206"/>
      <c r="G206"/>
      <c r="H206"/>
    </row>
    <row r="207" spans="6:8" x14ac:dyDescent="0.25">
      <c r="F207"/>
      <c r="G207"/>
      <c r="H207"/>
    </row>
    <row r="208" spans="6:8" x14ac:dyDescent="0.25">
      <c r="F208"/>
      <c r="G208"/>
      <c r="H208"/>
    </row>
    <row r="209" spans="6:8" x14ac:dyDescent="0.25">
      <c r="F209"/>
      <c r="G209"/>
      <c r="H209"/>
    </row>
    <row r="210" spans="6:8" x14ac:dyDescent="0.25">
      <c r="F210"/>
      <c r="G210"/>
      <c r="H210"/>
    </row>
    <row r="211" spans="6:8" x14ac:dyDescent="0.25">
      <c r="F211"/>
      <c r="G211"/>
      <c r="H211"/>
    </row>
    <row r="212" spans="6:8" x14ac:dyDescent="0.25">
      <c r="F212"/>
      <c r="G212"/>
      <c r="H212"/>
    </row>
    <row r="213" spans="6:8" x14ac:dyDescent="0.25">
      <c r="F213"/>
      <c r="G213"/>
      <c r="H213"/>
    </row>
    <row r="214" spans="6:8" x14ac:dyDescent="0.25">
      <c r="F214"/>
      <c r="G214"/>
      <c r="H214"/>
    </row>
    <row r="215" spans="6:8" x14ac:dyDescent="0.25">
      <c r="F215"/>
      <c r="G215"/>
      <c r="H215"/>
    </row>
    <row r="216" spans="6:8" x14ac:dyDescent="0.25">
      <c r="F216"/>
      <c r="G216"/>
      <c r="H216"/>
    </row>
    <row r="217" spans="6:8" x14ac:dyDescent="0.25">
      <c r="F217"/>
      <c r="G217"/>
      <c r="H217"/>
    </row>
    <row r="218" spans="6:8" x14ac:dyDescent="0.25">
      <c r="F218"/>
      <c r="G218"/>
      <c r="H218"/>
    </row>
    <row r="219" spans="6:8" x14ac:dyDescent="0.25">
      <c r="F219"/>
      <c r="G219"/>
      <c r="H219"/>
    </row>
    <row r="220" spans="6:8" x14ac:dyDescent="0.25">
      <c r="F220"/>
      <c r="G220"/>
      <c r="H220"/>
    </row>
    <row r="221" spans="6:8" x14ac:dyDescent="0.25">
      <c r="F221"/>
      <c r="G221"/>
      <c r="H221"/>
    </row>
    <row r="222" spans="6:8" x14ac:dyDescent="0.25">
      <c r="F222"/>
      <c r="G222"/>
      <c r="H222"/>
    </row>
    <row r="223" spans="6:8" x14ac:dyDescent="0.25">
      <c r="F223"/>
      <c r="G223"/>
      <c r="H223"/>
    </row>
    <row r="224" spans="6:8" x14ac:dyDescent="0.25">
      <c r="F224"/>
      <c r="G224"/>
      <c r="H224"/>
    </row>
    <row r="225" spans="6:8" x14ac:dyDescent="0.25">
      <c r="F225"/>
      <c r="G225"/>
      <c r="H225"/>
    </row>
    <row r="226" spans="6:8" x14ac:dyDescent="0.25">
      <c r="F226"/>
      <c r="G226"/>
      <c r="H226"/>
    </row>
    <row r="227" spans="6:8" x14ac:dyDescent="0.25">
      <c r="F227"/>
      <c r="G227"/>
      <c r="H227"/>
    </row>
    <row r="228" spans="6:8" x14ac:dyDescent="0.25">
      <c r="F228"/>
      <c r="G228"/>
      <c r="H228"/>
    </row>
    <row r="229" spans="6:8" x14ac:dyDescent="0.25">
      <c r="F229"/>
      <c r="G229"/>
      <c r="H229"/>
    </row>
    <row r="230" spans="6:8" x14ac:dyDescent="0.25">
      <c r="F230"/>
      <c r="G230"/>
      <c r="H230"/>
    </row>
    <row r="231" spans="6:8" x14ac:dyDescent="0.25">
      <c r="F231"/>
      <c r="G231"/>
      <c r="H231"/>
    </row>
    <row r="232" spans="6:8" x14ac:dyDescent="0.25">
      <c r="F232"/>
      <c r="G232"/>
      <c r="H232"/>
    </row>
    <row r="233" spans="6:8" x14ac:dyDescent="0.25">
      <c r="G233"/>
      <c r="H233"/>
    </row>
  </sheetData>
  <mergeCells count="1">
    <mergeCell ref="B1:G1"/>
  </mergeCells>
  <pageMargins left="0.511811024" right="0.511811024" top="0.78740157499999996" bottom="0.78740157499999996" header="0.31496062000000002" footer="0.31496062000000002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437CF-AE0B-44FC-9BC2-B0CD27AFC242}">
  <dimension ref="A1:L227"/>
  <sheetViews>
    <sheetView topLeftCell="A30" zoomScaleNormal="100" workbookViewId="0">
      <selection activeCell="D60" sqref="D60"/>
    </sheetView>
  </sheetViews>
  <sheetFormatPr defaultColWidth="9.140625" defaultRowHeight="15" x14ac:dyDescent="0.25"/>
  <cols>
    <col min="1" max="1" width="29.5703125" style="100" customWidth="1"/>
    <col min="2" max="2" width="45.28515625" style="100" customWidth="1"/>
    <col min="3" max="3" width="29.7109375" style="100" customWidth="1"/>
    <col min="4" max="4" width="21.42578125" style="100" customWidth="1"/>
    <col min="5" max="5" width="17.42578125" style="100" customWidth="1"/>
    <col min="6" max="6" width="16.42578125" style="100" customWidth="1"/>
    <col min="7" max="7" width="17.140625" style="100" customWidth="1"/>
    <col min="8" max="8" width="16.85546875" style="100" bestFit="1" customWidth="1"/>
    <col min="9" max="16384" width="9.140625" style="100"/>
  </cols>
  <sheetData>
    <row r="1" spans="1:8" customFormat="1" ht="21.75" customHeight="1" x14ac:dyDescent="0.25">
      <c r="A1" s="87"/>
      <c r="B1" s="118" t="s">
        <v>0</v>
      </c>
      <c r="C1" s="119"/>
      <c r="D1" s="119"/>
      <c r="E1" s="119"/>
      <c r="F1" s="119"/>
      <c r="G1" s="120"/>
      <c r="H1" s="88"/>
    </row>
    <row r="2" spans="1:8" customFormat="1" ht="30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3"/>
      <c r="F2" s="4" t="s">
        <v>5</v>
      </c>
      <c r="G2" s="89"/>
      <c r="H2" s="6"/>
    </row>
    <row r="3" spans="1:8" customFormat="1" ht="30.6" customHeight="1" x14ac:dyDescent="0.25">
      <c r="A3" s="7">
        <v>1</v>
      </c>
      <c r="B3" s="8" t="s">
        <v>6</v>
      </c>
      <c r="C3" s="8"/>
      <c r="D3" s="9">
        <v>45870</v>
      </c>
      <c r="E3" s="9"/>
      <c r="F3" s="10">
        <f>532.69+550+5000</f>
        <v>6082.6900000000005</v>
      </c>
      <c r="G3" s="89"/>
      <c r="H3" s="6"/>
    </row>
    <row r="4" spans="1:8" customFormat="1" ht="30.6" customHeight="1" x14ac:dyDescent="0.25">
      <c r="A4" s="7">
        <v>2</v>
      </c>
      <c r="B4" s="8" t="s">
        <v>8</v>
      </c>
      <c r="C4" s="8" t="s">
        <v>9</v>
      </c>
      <c r="D4" s="9">
        <v>45870</v>
      </c>
      <c r="E4" s="9"/>
      <c r="F4" s="10">
        <v>39590</v>
      </c>
      <c r="G4" s="89"/>
      <c r="H4" s="11"/>
    </row>
    <row r="5" spans="1:8" customFormat="1" ht="30.6" customHeight="1" x14ac:dyDescent="0.25">
      <c r="A5" s="7">
        <v>3</v>
      </c>
      <c r="B5" s="8" t="s">
        <v>10</v>
      </c>
      <c r="C5" s="12" t="s">
        <v>11</v>
      </c>
      <c r="D5" s="9">
        <v>45870</v>
      </c>
      <c r="E5" s="9"/>
      <c r="F5" s="10">
        <v>39510.6</v>
      </c>
      <c r="G5" s="89"/>
      <c r="H5" s="11"/>
    </row>
    <row r="6" spans="1:8" customFormat="1" ht="30.6" customHeight="1" x14ac:dyDescent="0.25">
      <c r="A6" s="7">
        <v>4</v>
      </c>
      <c r="B6" s="8" t="s">
        <v>12</v>
      </c>
      <c r="C6" s="8"/>
      <c r="D6" s="9">
        <v>45870</v>
      </c>
      <c r="E6" s="9"/>
      <c r="F6" s="10">
        <v>395.8</v>
      </c>
      <c r="G6" s="89"/>
      <c r="H6" s="6"/>
    </row>
    <row r="7" spans="1:8" customFormat="1" ht="30.6" customHeight="1" x14ac:dyDescent="0.25">
      <c r="A7" s="7">
        <v>5</v>
      </c>
      <c r="B7" s="8" t="s">
        <v>13</v>
      </c>
      <c r="C7" s="8" t="s">
        <v>14</v>
      </c>
      <c r="D7" s="9">
        <v>45870</v>
      </c>
      <c r="E7" s="9"/>
      <c r="F7" s="13">
        <v>1518</v>
      </c>
      <c r="G7" s="89"/>
      <c r="H7" s="6"/>
    </row>
    <row r="8" spans="1:8" customFormat="1" ht="30.6" customHeight="1" x14ac:dyDescent="0.25">
      <c r="A8" s="7">
        <v>6</v>
      </c>
      <c r="B8" s="8" t="s">
        <v>15</v>
      </c>
      <c r="C8" s="8" t="s">
        <v>16</v>
      </c>
      <c r="D8" s="9">
        <v>45870</v>
      </c>
      <c r="E8" s="9"/>
      <c r="F8" s="13">
        <v>2500</v>
      </c>
      <c r="G8" s="89"/>
      <c r="H8" s="6"/>
    </row>
    <row r="9" spans="1:8" customFormat="1" ht="34.5" customHeight="1" x14ac:dyDescent="0.25">
      <c r="A9" s="7">
        <v>7</v>
      </c>
      <c r="B9" s="14" t="s">
        <v>17</v>
      </c>
      <c r="C9" s="12" t="s">
        <v>18</v>
      </c>
      <c r="D9" s="9">
        <v>45870</v>
      </c>
      <c r="E9" s="9"/>
      <c r="F9" s="13">
        <v>880</v>
      </c>
      <c r="G9" s="89"/>
      <c r="H9" s="6"/>
    </row>
    <row r="10" spans="1:8" customFormat="1" ht="30.6" customHeight="1" x14ac:dyDescent="0.25">
      <c r="A10" s="7">
        <v>8</v>
      </c>
      <c r="B10" s="14" t="s">
        <v>19</v>
      </c>
      <c r="C10" s="14" t="s">
        <v>20</v>
      </c>
      <c r="D10" s="9">
        <v>45870</v>
      </c>
      <c r="E10" s="9"/>
      <c r="F10" s="13">
        <v>134.36000000000001</v>
      </c>
      <c r="G10" s="89"/>
      <c r="H10" s="6"/>
    </row>
    <row r="11" spans="1:8" customFormat="1" ht="30.6" customHeight="1" x14ac:dyDescent="0.25">
      <c r="A11" s="7">
        <v>9</v>
      </c>
      <c r="B11" s="14" t="s">
        <v>149</v>
      </c>
      <c r="C11" s="14" t="s">
        <v>150</v>
      </c>
      <c r="D11" s="9">
        <v>45870</v>
      </c>
      <c r="E11" s="9"/>
      <c r="F11" s="13">
        <v>149.9</v>
      </c>
      <c r="G11" s="89"/>
      <c r="H11" s="6"/>
    </row>
    <row r="12" spans="1:8" customFormat="1" ht="30.6" customHeight="1" x14ac:dyDescent="0.25">
      <c r="A12" s="7">
        <v>10</v>
      </c>
      <c r="B12" s="14" t="s">
        <v>21</v>
      </c>
      <c r="C12" s="12" t="s">
        <v>22</v>
      </c>
      <c r="D12" s="9">
        <v>45870</v>
      </c>
      <c r="E12" s="9"/>
      <c r="F12" s="13">
        <v>308</v>
      </c>
      <c r="G12" s="89"/>
      <c r="H12" s="15"/>
    </row>
    <row r="13" spans="1:8" customFormat="1" ht="30.6" customHeight="1" x14ac:dyDescent="0.25">
      <c r="A13" s="7">
        <v>11</v>
      </c>
      <c r="B13" s="14" t="s">
        <v>23</v>
      </c>
      <c r="C13" s="8"/>
      <c r="D13" s="9">
        <v>45870</v>
      </c>
      <c r="E13" s="9"/>
      <c r="F13" s="13">
        <v>200</v>
      </c>
      <c r="G13" s="89"/>
      <c r="H13" s="6"/>
    </row>
    <row r="14" spans="1:8" customFormat="1" ht="31.5" customHeight="1" x14ac:dyDescent="0.25">
      <c r="A14" s="7">
        <v>12</v>
      </c>
      <c r="B14" s="14" t="s">
        <v>26</v>
      </c>
      <c r="C14" s="12" t="s">
        <v>182</v>
      </c>
      <c r="D14" s="9">
        <v>45870</v>
      </c>
      <c r="E14" s="9"/>
      <c r="F14" s="13">
        <v>299.5</v>
      </c>
      <c r="G14" s="89"/>
      <c r="H14" s="6"/>
    </row>
    <row r="15" spans="1:8" customFormat="1" ht="42" customHeight="1" x14ac:dyDescent="0.25">
      <c r="A15" s="90"/>
      <c r="B15" s="91" t="s">
        <v>31</v>
      </c>
      <c r="C15" s="92"/>
      <c r="D15" s="2"/>
      <c r="E15" s="93"/>
      <c r="F15" s="94">
        <f>SUM(F3:F14)</f>
        <v>91568.85</v>
      </c>
      <c r="G15" s="95"/>
      <c r="H15" s="6"/>
    </row>
    <row r="16" spans="1:8" customFormat="1" ht="21.75" customHeight="1" x14ac:dyDescent="0.25">
      <c r="A16" s="17" t="s">
        <v>32</v>
      </c>
      <c r="B16" s="17" t="s">
        <v>33</v>
      </c>
      <c r="C16" s="96" t="s">
        <v>34</v>
      </c>
      <c r="D16" s="17" t="s">
        <v>35</v>
      </c>
      <c r="E16" s="17" t="s">
        <v>36</v>
      </c>
      <c r="F16" s="17" t="s">
        <v>37</v>
      </c>
      <c r="G16" s="97" t="s">
        <v>38</v>
      </c>
      <c r="H16" s="96" t="s">
        <v>39</v>
      </c>
    </row>
    <row r="17" spans="1:12" s="27" customFormat="1" ht="15" customHeight="1" x14ac:dyDescent="0.25">
      <c r="A17" s="20" t="s">
        <v>40</v>
      </c>
      <c r="B17" s="21" t="s">
        <v>41</v>
      </c>
      <c r="C17" s="22" t="s">
        <v>42</v>
      </c>
      <c r="D17" s="23">
        <v>4016</v>
      </c>
      <c r="E17" s="24">
        <f t="shared" ref="E17:E60" si="0">D17/$D$61</f>
        <v>1.2655614264944527E-2</v>
      </c>
      <c r="F17" s="25">
        <f>$F$15*E17</f>
        <v>1158.8600442845657</v>
      </c>
      <c r="G17" s="26">
        <f>F17*5%</f>
        <v>57.943002214228287</v>
      </c>
      <c r="H17" s="26">
        <f t="shared" ref="H17:H60" si="1">F17+G17</f>
        <v>1216.8030464987939</v>
      </c>
    </row>
    <row r="18" spans="1:12" customFormat="1" x14ac:dyDescent="0.25">
      <c r="A18" s="20" t="s">
        <v>43</v>
      </c>
      <c r="B18" s="28" t="s">
        <v>44</v>
      </c>
      <c r="C18" s="22">
        <v>18778225000139</v>
      </c>
      <c r="D18" s="23">
        <v>8711.2199999999993</v>
      </c>
      <c r="E18" s="24">
        <f t="shared" si="0"/>
        <v>2.7451653410625016E-2</v>
      </c>
      <c r="F18" s="25">
        <f t="shared" ref="F18:F60" si="2">$F$15*E18</f>
        <v>2513.7163334095108</v>
      </c>
      <c r="G18" s="26">
        <f t="shared" ref="G18:G60" si="3">F18*5%</f>
        <v>125.68581667047555</v>
      </c>
      <c r="H18" s="26">
        <f t="shared" si="1"/>
        <v>2639.4021500799863</v>
      </c>
    </row>
    <row r="19" spans="1:12" customFormat="1" x14ac:dyDescent="0.25">
      <c r="A19" s="20" t="s">
        <v>45</v>
      </c>
      <c r="B19" s="28" t="s">
        <v>46</v>
      </c>
      <c r="C19" s="22">
        <v>41993875000119</v>
      </c>
      <c r="D19" s="23">
        <v>3641.8</v>
      </c>
      <c r="E19" s="24">
        <f t="shared" si="0"/>
        <v>1.1476398413863293E-2</v>
      </c>
      <c r="F19" s="25">
        <f t="shared" si="2"/>
        <v>1050.8806048992858</v>
      </c>
      <c r="G19" s="26">
        <f t="shared" si="3"/>
        <v>52.54403024496429</v>
      </c>
      <c r="H19" s="26">
        <f t="shared" si="1"/>
        <v>1103.42463514425</v>
      </c>
    </row>
    <row r="20" spans="1:12" customFormat="1" x14ac:dyDescent="0.25">
      <c r="A20" s="20" t="s">
        <v>47</v>
      </c>
      <c r="B20" s="21" t="s">
        <v>48</v>
      </c>
      <c r="C20" s="22">
        <v>24781302000102</v>
      </c>
      <c r="D20" s="23">
        <v>3430</v>
      </c>
      <c r="E20" s="24">
        <f t="shared" si="0"/>
        <v>1.0808953418515869E-2</v>
      </c>
      <c r="F20" s="25">
        <f t="shared" si="2"/>
        <v>989.76343423706692</v>
      </c>
      <c r="G20" s="26">
        <f t="shared" si="3"/>
        <v>49.488171711853347</v>
      </c>
      <c r="H20" s="26">
        <f t="shared" si="1"/>
        <v>1039.2516059489203</v>
      </c>
    </row>
    <row r="21" spans="1:12" customFormat="1" x14ac:dyDescent="0.25">
      <c r="A21" s="20" t="s">
        <v>161</v>
      </c>
      <c r="B21" s="21" t="s">
        <v>162</v>
      </c>
      <c r="C21" s="22" t="s">
        <v>163</v>
      </c>
      <c r="D21" s="23">
        <v>9403</v>
      </c>
      <c r="E21" s="24">
        <f t="shared" si="0"/>
        <v>2.9631658598922656E-2</v>
      </c>
      <c r="F21" s="25">
        <f t="shared" si="2"/>
        <v>2713.336901495959</v>
      </c>
      <c r="G21" s="26">
        <f t="shared" si="3"/>
        <v>135.66684507479795</v>
      </c>
      <c r="H21" s="26">
        <f t="shared" si="1"/>
        <v>2849.0037465707569</v>
      </c>
    </row>
    <row r="22" spans="1:12" customFormat="1" x14ac:dyDescent="0.25">
      <c r="A22" s="20" t="s">
        <v>49</v>
      </c>
      <c r="B22" s="21" t="s">
        <v>50</v>
      </c>
      <c r="C22" s="22">
        <v>38649716000197</v>
      </c>
      <c r="D22" s="23">
        <v>3440</v>
      </c>
      <c r="E22" s="24">
        <f t="shared" si="0"/>
        <v>1.084046640224332E-2</v>
      </c>
      <c r="F22" s="25">
        <f t="shared" si="2"/>
        <v>992.6490419170583</v>
      </c>
      <c r="G22" s="26">
        <f t="shared" si="3"/>
        <v>49.632452095852919</v>
      </c>
      <c r="H22" s="26">
        <f t="shared" si="1"/>
        <v>1042.2814940129113</v>
      </c>
    </row>
    <row r="23" spans="1:12" customFormat="1" x14ac:dyDescent="0.25">
      <c r="A23" s="20" t="s">
        <v>51</v>
      </c>
      <c r="B23" s="21" t="s">
        <v>52</v>
      </c>
      <c r="C23" s="22" t="s">
        <v>53</v>
      </c>
      <c r="D23" s="23">
        <v>4056</v>
      </c>
      <c r="E23" s="24">
        <f t="shared" si="0"/>
        <v>1.2781666199854333E-2</v>
      </c>
      <c r="F23" s="25">
        <f t="shared" si="2"/>
        <v>1170.4024750045317</v>
      </c>
      <c r="G23" s="26">
        <f t="shared" si="3"/>
        <v>58.520123750226588</v>
      </c>
      <c r="H23" s="26">
        <f t="shared" si="1"/>
        <v>1228.9225987547582</v>
      </c>
    </row>
    <row r="24" spans="1:12" customFormat="1" x14ac:dyDescent="0.25">
      <c r="A24" s="20" t="s">
        <v>54</v>
      </c>
      <c r="B24" s="21" t="s">
        <v>55</v>
      </c>
      <c r="C24" s="22" t="s">
        <v>56</v>
      </c>
      <c r="D24" s="23">
        <v>11580</v>
      </c>
      <c r="E24" s="24">
        <f t="shared" si="0"/>
        <v>3.6492035156388852E-2</v>
      </c>
      <c r="F24" s="25">
        <f t="shared" si="2"/>
        <v>3341.5336934300976</v>
      </c>
      <c r="G24" s="26">
        <f t="shared" si="3"/>
        <v>167.07668467150489</v>
      </c>
      <c r="H24" s="26">
        <f t="shared" si="1"/>
        <v>3508.6103781016027</v>
      </c>
    </row>
    <row r="25" spans="1:12" customFormat="1" x14ac:dyDescent="0.25">
      <c r="A25" s="20" t="s">
        <v>57</v>
      </c>
      <c r="B25" s="21" t="s">
        <v>58</v>
      </c>
      <c r="C25" s="22" t="s">
        <v>178</v>
      </c>
      <c r="D25" s="23">
        <f>360+360+1510</f>
        <v>2230</v>
      </c>
      <c r="E25" s="24">
        <f t="shared" si="0"/>
        <v>7.0273953712216876E-3</v>
      </c>
      <c r="F25" s="25">
        <f t="shared" si="2"/>
        <v>643.49051263809304</v>
      </c>
      <c r="G25" s="26">
        <f t="shared" si="3"/>
        <v>32.17452563190465</v>
      </c>
      <c r="H25" s="26">
        <f t="shared" si="1"/>
        <v>675.66503826999769</v>
      </c>
    </row>
    <row r="26" spans="1:12" s="33" customFormat="1" ht="15.75" customHeight="1" x14ac:dyDescent="0.25">
      <c r="A26" s="20" t="s">
        <v>60</v>
      </c>
      <c r="B26" s="29" t="s">
        <v>61</v>
      </c>
      <c r="C26" s="30" t="s">
        <v>62</v>
      </c>
      <c r="D26" s="23">
        <f>5224+3930</f>
        <v>9154</v>
      </c>
      <c r="E26" s="24">
        <f t="shared" si="0"/>
        <v>2.8846985304109115E-2</v>
      </c>
      <c r="F26" s="25">
        <f t="shared" si="2"/>
        <v>2641.485270264172</v>
      </c>
      <c r="G26" s="26">
        <f t="shared" si="3"/>
        <v>132.07426351320859</v>
      </c>
      <c r="H26" s="31">
        <f t="shared" si="1"/>
        <v>2773.5595337773807</v>
      </c>
      <c r="I26" s="32" t="s">
        <v>63</v>
      </c>
      <c r="L26" s="33" t="s">
        <v>64</v>
      </c>
    </row>
    <row r="27" spans="1:12" customFormat="1" ht="15.75" customHeight="1" x14ac:dyDescent="0.25">
      <c r="A27" s="20" t="s">
        <v>65</v>
      </c>
      <c r="B27" s="28" t="s">
        <v>66</v>
      </c>
      <c r="C27" s="22" t="s">
        <v>67</v>
      </c>
      <c r="D27" s="23">
        <v>2610</v>
      </c>
      <c r="E27" s="24">
        <f t="shared" si="0"/>
        <v>8.2248887528648448E-3</v>
      </c>
      <c r="F27" s="25">
        <f t="shared" si="2"/>
        <v>753.14360447776812</v>
      </c>
      <c r="G27" s="26">
        <f t="shared" si="3"/>
        <v>37.65718022388841</v>
      </c>
      <c r="H27" s="26">
        <f t="shared" si="1"/>
        <v>790.80078470165654</v>
      </c>
    </row>
    <row r="28" spans="1:12" customFormat="1" ht="15.75" customHeight="1" x14ac:dyDescent="0.25">
      <c r="A28" s="20" t="s">
        <v>68</v>
      </c>
      <c r="B28" s="28" t="s">
        <v>69</v>
      </c>
      <c r="C28" s="22" t="s">
        <v>70</v>
      </c>
      <c r="D28" s="23">
        <v>5515</v>
      </c>
      <c r="E28" s="24">
        <f t="shared" si="0"/>
        <v>1.7379410525689511E-2</v>
      </c>
      <c r="F28" s="25">
        <f t="shared" si="2"/>
        <v>1591.4126355152841</v>
      </c>
      <c r="G28" s="26">
        <f t="shared" si="3"/>
        <v>79.570631775764213</v>
      </c>
      <c r="H28" s="26">
        <f t="shared" si="1"/>
        <v>1670.9832672910484</v>
      </c>
    </row>
    <row r="29" spans="1:12" customFormat="1" ht="15.75" customHeight="1" x14ac:dyDescent="0.25">
      <c r="A29" s="20" t="s">
        <v>71</v>
      </c>
      <c r="B29" s="21" t="s">
        <v>72</v>
      </c>
      <c r="C29" s="22">
        <v>17202383000183</v>
      </c>
      <c r="D29" s="23">
        <v>15332</v>
      </c>
      <c r="E29" s="24">
        <f t="shared" si="0"/>
        <v>4.8315706650928658E-2</v>
      </c>
      <c r="F29" s="25">
        <f t="shared" si="2"/>
        <v>4424.2136949628893</v>
      </c>
      <c r="G29" s="26">
        <f t="shared" si="3"/>
        <v>221.21068474814447</v>
      </c>
      <c r="H29" s="26">
        <f t="shared" si="1"/>
        <v>4645.4243797110339</v>
      </c>
    </row>
    <row r="30" spans="1:12" customFormat="1" ht="15.75" customHeight="1" x14ac:dyDescent="0.25">
      <c r="A30" s="20" t="s">
        <v>73</v>
      </c>
      <c r="B30" s="21" t="s">
        <v>74</v>
      </c>
      <c r="C30" s="22">
        <v>18183488000103</v>
      </c>
      <c r="D30" s="23">
        <v>7238</v>
      </c>
      <c r="E30" s="24">
        <f t="shared" si="0"/>
        <v>2.2809097621929404E-2</v>
      </c>
      <c r="F30" s="25">
        <f t="shared" si="2"/>
        <v>2088.6028387778106</v>
      </c>
      <c r="G30" s="26">
        <f t="shared" si="3"/>
        <v>104.43014193889053</v>
      </c>
      <c r="H30" s="26">
        <f t="shared" si="1"/>
        <v>2193.0329807167009</v>
      </c>
    </row>
    <row r="31" spans="1:12" customFormat="1" x14ac:dyDescent="0.25">
      <c r="A31" s="20" t="s">
        <v>75</v>
      </c>
      <c r="B31" s="21" t="s">
        <v>76</v>
      </c>
      <c r="C31" s="22">
        <v>18244070000150</v>
      </c>
      <c r="D31" s="23">
        <v>5941</v>
      </c>
      <c r="E31" s="24">
        <f t="shared" si="0"/>
        <v>1.8721863632478943E-2</v>
      </c>
      <c r="F31" s="25">
        <f t="shared" si="2"/>
        <v>1714.3395226829196</v>
      </c>
      <c r="G31" s="26">
        <f t="shared" si="3"/>
        <v>85.71697613414598</v>
      </c>
      <c r="H31" s="26">
        <f t="shared" si="1"/>
        <v>1800.0564988170656</v>
      </c>
    </row>
    <row r="32" spans="1:12" customFormat="1" x14ac:dyDescent="0.25">
      <c r="A32" s="20" t="s">
        <v>77</v>
      </c>
      <c r="B32" s="21" t="s">
        <v>78</v>
      </c>
      <c r="C32" s="22">
        <v>18244039000110</v>
      </c>
      <c r="D32" s="23">
        <v>4460</v>
      </c>
      <c r="E32" s="24">
        <f t="shared" si="0"/>
        <v>1.4054790742443375E-2</v>
      </c>
      <c r="F32" s="25">
        <f t="shared" si="2"/>
        <v>1286.9810252761861</v>
      </c>
      <c r="G32" s="26">
        <f t="shared" si="3"/>
        <v>64.349051263809301</v>
      </c>
      <c r="H32" s="26">
        <f t="shared" si="1"/>
        <v>1351.3300765399954</v>
      </c>
    </row>
    <row r="33" spans="1:12" customFormat="1" x14ac:dyDescent="0.25">
      <c r="A33" s="20" t="s">
        <v>79</v>
      </c>
      <c r="B33" s="21" t="s">
        <v>153</v>
      </c>
      <c r="C33" s="22" t="s">
        <v>154</v>
      </c>
      <c r="D33" s="23">
        <v>4415</v>
      </c>
      <c r="E33" s="24">
        <f t="shared" si="0"/>
        <v>1.3912982315669844E-2</v>
      </c>
      <c r="F33" s="25">
        <f t="shared" si="2"/>
        <v>1273.9957907162245</v>
      </c>
      <c r="G33" s="26">
        <f t="shared" si="3"/>
        <v>63.699789535811227</v>
      </c>
      <c r="H33" s="26">
        <f t="shared" si="1"/>
        <v>1337.6955802520358</v>
      </c>
    </row>
    <row r="34" spans="1:12" customFormat="1" x14ac:dyDescent="0.25">
      <c r="A34" s="20" t="s">
        <v>81</v>
      </c>
      <c r="B34" s="21" t="s">
        <v>82</v>
      </c>
      <c r="C34" s="22" t="s">
        <v>83</v>
      </c>
      <c r="D34" s="23">
        <v>8673</v>
      </c>
      <c r="E34" s="24">
        <f t="shared" si="0"/>
        <v>2.7331210786818699E-2</v>
      </c>
      <c r="F34" s="25">
        <f t="shared" si="2"/>
        <v>2502.6875408565834</v>
      </c>
      <c r="G34" s="26">
        <f t="shared" si="3"/>
        <v>125.13437704282917</v>
      </c>
      <c r="H34" s="26">
        <f t="shared" si="1"/>
        <v>2627.8219178994127</v>
      </c>
    </row>
    <row r="35" spans="1:12" customFormat="1" x14ac:dyDescent="0.25">
      <c r="A35" s="20" t="s">
        <v>84</v>
      </c>
      <c r="B35" s="21" t="s">
        <v>155</v>
      </c>
      <c r="C35" s="22" t="s">
        <v>86</v>
      </c>
      <c r="D35" s="23">
        <v>9239</v>
      </c>
      <c r="E35" s="24">
        <f t="shared" si="0"/>
        <v>2.9114845665792453E-2</v>
      </c>
      <c r="F35" s="25">
        <f t="shared" si="2"/>
        <v>2666.0129355440995</v>
      </c>
      <c r="G35" s="26">
        <f t="shared" si="3"/>
        <v>133.30064677720497</v>
      </c>
      <c r="H35" s="26">
        <f t="shared" si="1"/>
        <v>2799.3135823213042</v>
      </c>
    </row>
    <row r="36" spans="1:12" customFormat="1" x14ac:dyDescent="0.25">
      <c r="A36" s="20" t="s">
        <v>87</v>
      </c>
      <c r="B36" s="21" t="s">
        <v>88</v>
      </c>
      <c r="C36" s="22" t="s">
        <v>89</v>
      </c>
      <c r="D36" s="23">
        <v>4892</v>
      </c>
      <c r="E36" s="24">
        <f t="shared" si="0"/>
        <v>1.5416151639469281E-2</v>
      </c>
      <c r="F36" s="25">
        <f t="shared" si="2"/>
        <v>1411.6392770518166</v>
      </c>
      <c r="G36" s="26">
        <f t="shared" si="3"/>
        <v>70.581963852590832</v>
      </c>
      <c r="H36" s="26">
        <f t="shared" si="1"/>
        <v>1482.2212409044075</v>
      </c>
    </row>
    <row r="37" spans="1:12" customFormat="1" x14ac:dyDescent="0.25">
      <c r="A37" s="20" t="s">
        <v>90</v>
      </c>
      <c r="B37" s="21" t="s">
        <v>91</v>
      </c>
      <c r="C37" s="22">
        <v>41497649000147</v>
      </c>
      <c r="D37" s="23">
        <v>2526</v>
      </c>
      <c r="E37" s="24">
        <f t="shared" si="0"/>
        <v>7.9601796895542518E-3</v>
      </c>
      <c r="F37" s="25">
        <f t="shared" si="2"/>
        <v>728.90449996583993</v>
      </c>
      <c r="G37" s="26">
        <f t="shared" si="3"/>
        <v>36.445224998291998</v>
      </c>
      <c r="H37" s="26">
        <f t="shared" si="1"/>
        <v>765.34972496413195</v>
      </c>
    </row>
    <row r="38" spans="1:12" customFormat="1" x14ac:dyDescent="0.25">
      <c r="A38" s="20" t="s">
        <v>92</v>
      </c>
      <c r="B38" s="21" t="s">
        <v>93</v>
      </c>
      <c r="C38" s="22">
        <v>40580071000125</v>
      </c>
      <c r="D38" s="23">
        <v>3600</v>
      </c>
      <c r="E38" s="24">
        <f t="shared" si="0"/>
        <v>1.1344674141882545E-2</v>
      </c>
      <c r="F38" s="25">
        <f t="shared" si="2"/>
        <v>1038.8187647969214</v>
      </c>
      <c r="G38" s="26">
        <f t="shared" si="3"/>
        <v>51.940938239846076</v>
      </c>
      <c r="H38" s="26">
        <f t="shared" si="1"/>
        <v>1090.7597030367674</v>
      </c>
      <c r="I38" s="32" t="s">
        <v>63</v>
      </c>
      <c r="L38" t="s">
        <v>94</v>
      </c>
    </row>
    <row r="39" spans="1:12" customFormat="1" x14ac:dyDescent="0.25">
      <c r="A39" s="20" t="s">
        <v>95</v>
      </c>
      <c r="B39" s="21" t="s">
        <v>96</v>
      </c>
      <c r="C39" s="22" t="s">
        <v>97</v>
      </c>
      <c r="D39" s="23">
        <v>3938</v>
      </c>
      <c r="E39" s="24">
        <f t="shared" si="0"/>
        <v>1.2409812991870406E-2</v>
      </c>
      <c r="F39" s="25">
        <f t="shared" si="2"/>
        <v>1136.3523043806326</v>
      </c>
      <c r="G39" s="26">
        <f t="shared" si="3"/>
        <v>56.817615219031637</v>
      </c>
      <c r="H39" s="26">
        <f t="shared" si="1"/>
        <v>1193.1699195996644</v>
      </c>
    </row>
    <row r="40" spans="1:12" customFormat="1" x14ac:dyDescent="0.25">
      <c r="A40" s="20" t="s">
        <v>98</v>
      </c>
      <c r="B40" s="21" t="s">
        <v>167</v>
      </c>
      <c r="C40" s="22" t="s">
        <v>168</v>
      </c>
      <c r="D40" s="23">
        <v>3707</v>
      </c>
      <c r="E40" s="24">
        <f t="shared" si="0"/>
        <v>1.1681863067766276E-2</v>
      </c>
      <c r="F40" s="25">
        <f t="shared" si="2"/>
        <v>1069.6947669728299</v>
      </c>
      <c r="G40" s="26">
        <f t="shared" si="3"/>
        <v>53.4847383486415</v>
      </c>
      <c r="H40" s="26">
        <f t="shared" si="1"/>
        <v>1123.1795053214714</v>
      </c>
    </row>
    <row r="41" spans="1:12" customFormat="1" x14ac:dyDescent="0.25">
      <c r="A41" s="20" t="s">
        <v>100</v>
      </c>
      <c r="B41" s="21" t="s">
        <v>101</v>
      </c>
      <c r="C41" s="22">
        <v>42109766000159</v>
      </c>
      <c r="D41" s="23">
        <v>5117</v>
      </c>
      <c r="E41" s="24">
        <f t="shared" si="0"/>
        <v>1.6125193773336939E-2</v>
      </c>
      <c r="F41" s="25">
        <f t="shared" si="2"/>
        <v>1476.5654498516242</v>
      </c>
      <c r="G41" s="26">
        <f t="shared" si="3"/>
        <v>73.828272492581206</v>
      </c>
      <c r="H41" s="26">
        <f t="shared" si="1"/>
        <v>1550.3937223442053</v>
      </c>
    </row>
    <row r="42" spans="1:12" customFormat="1" x14ac:dyDescent="0.25">
      <c r="A42" s="20" t="s">
        <v>102</v>
      </c>
      <c r="B42" s="21" t="s">
        <v>99</v>
      </c>
      <c r="C42" s="22">
        <v>18788190000119</v>
      </c>
      <c r="D42" s="23">
        <v>14717</v>
      </c>
      <c r="E42" s="24">
        <f t="shared" si="0"/>
        <v>4.6377658151690392E-2</v>
      </c>
      <c r="F42" s="25">
        <f t="shared" si="2"/>
        <v>4246.7488226434152</v>
      </c>
      <c r="G42" s="26">
        <f t="shared" si="3"/>
        <v>212.33744113217077</v>
      </c>
      <c r="H42" s="26">
        <f t="shared" si="1"/>
        <v>4459.0862637755863</v>
      </c>
    </row>
    <row r="43" spans="1:12" customFormat="1" ht="13.5" customHeight="1" x14ac:dyDescent="0.25">
      <c r="A43" s="20" t="s">
        <v>103</v>
      </c>
      <c r="B43" s="21" t="s">
        <v>104</v>
      </c>
      <c r="C43" s="22">
        <v>32302613000170</v>
      </c>
      <c r="D43" s="23">
        <v>5439</v>
      </c>
      <c r="E43" s="24">
        <f t="shared" si="0"/>
        <v>1.7139911849360877E-2</v>
      </c>
      <c r="F43" s="25">
        <f t="shared" si="2"/>
        <v>1569.4820171473489</v>
      </c>
      <c r="G43" s="26">
        <f t="shared" si="3"/>
        <v>78.474100857367446</v>
      </c>
      <c r="H43" s="26">
        <f t="shared" si="1"/>
        <v>1647.9561180047162</v>
      </c>
    </row>
    <row r="44" spans="1:12" customFormat="1" x14ac:dyDescent="0.25">
      <c r="A44" s="20" t="s">
        <v>105</v>
      </c>
      <c r="B44" s="21" t="s">
        <v>106</v>
      </c>
      <c r="C44" s="22">
        <v>28616552000148</v>
      </c>
      <c r="D44" s="23">
        <v>4123.71</v>
      </c>
      <c r="E44" s="24">
        <f t="shared" si="0"/>
        <v>1.2995040612672908E-2</v>
      </c>
      <c r="F44" s="25">
        <f t="shared" si="2"/>
        <v>1189.9409246057537</v>
      </c>
      <c r="G44" s="26">
        <f t="shared" si="3"/>
        <v>59.497046230287687</v>
      </c>
      <c r="H44" s="26">
        <f t="shared" si="1"/>
        <v>1249.4379708360414</v>
      </c>
    </row>
    <row r="45" spans="1:12" customFormat="1" x14ac:dyDescent="0.25">
      <c r="A45" s="20" t="s">
        <v>107</v>
      </c>
      <c r="B45" s="21" t="s">
        <v>108</v>
      </c>
      <c r="C45" s="22">
        <v>42579914000107</v>
      </c>
      <c r="D45" s="23">
        <v>4986.3599999999997</v>
      </c>
      <c r="E45" s="24">
        <f t="shared" si="0"/>
        <v>1.5713508153921512E-2</v>
      </c>
      <c r="F45" s="25">
        <f t="shared" si="2"/>
        <v>1438.867871120216</v>
      </c>
      <c r="G45" s="26">
        <f t="shared" si="3"/>
        <v>71.943393556010804</v>
      </c>
      <c r="H45" s="26">
        <f t="shared" si="1"/>
        <v>1510.8112646762268</v>
      </c>
    </row>
    <row r="46" spans="1:12" customFormat="1" x14ac:dyDescent="0.25">
      <c r="A46" s="20" t="s">
        <v>109</v>
      </c>
      <c r="B46" s="21" t="s">
        <v>110</v>
      </c>
      <c r="C46" s="22" t="s">
        <v>111</v>
      </c>
      <c r="D46" s="23">
        <v>7462</v>
      </c>
      <c r="E46" s="24">
        <f t="shared" si="0"/>
        <v>2.3514988457424318E-2</v>
      </c>
      <c r="F46" s="25">
        <f t="shared" si="2"/>
        <v>2153.2404508096188</v>
      </c>
      <c r="G46" s="26">
        <f t="shared" si="3"/>
        <v>107.66202254048095</v>
      </c>
      <c r="H46" s="26">
        <f t="shared" si="1"/>
        <v>2260.9024733500996</v>
      </c>
      <c r="J46" s="44"/>
    </row>
    <row r="47" spans="1:12" customFormat="1" x14ac:dyDescent="0.25">
      <c r="A47" s="20" t="s">
        <v>112</v>
      </c>
      <c r="B47" s="21" t="s">
        <v>113</v>
      </c>
      <c r="C47" s="22" t="s">
        <v>114</v>
      </c>
      <c r="D47" s="23">
        <v>5525</v>
      </c>
      <c r="E47" s="24">
        <f t="shared" si="0"/>
        <v>1.7410923509416962E-2</v>
      </c>
      <c r="F47" s="25">
        <f t="shared" si="2"/>
        <v>1594.2982431952755</v>
      </c>
      <c r="G47" s="26">
        <f t="shared" si="3"/>
        <v>79.714912159763784</v>
      </c>
      <c r="H47" s="26">
        <f t="shared" si="1"/>
        <v>1674.0131553550393</v>
      </c>
    </row>
    <row r="48" spans="1:12" customFormat="1" x14ac:dyDescent="0.25">
      <c r="A48" s="20" t="s">
        <v>115</v>
      </c>
      <c r="B48" s="21" t="s">
        <v>116</v>
      </c>
      <c r="C48" s="22">
        <v>26480299000112</v>
      </c>
      <c r="D48" s="23"/>
      <c r="E48" s="24">
        <f t="shared" si="0"/>
        <v>0</v>
      </c>
      <c r="F48" s="25">
        <f t="shared" si="2"/>
        <v>0</v>
      </c>
      <c r="G48" s="26">
        <f t="shared" si="3"/>
        <v>0</v>
      </c>
      <c r="H48" s="26">
        <f t="shared" si="1"/>
        <v>0</v>
      </c>
    </row>
    <row r="49" spans="1:8" customFormat="1" x14ac:dyDescent="0.25">
      <c r="A49" s="20" t="s">
        <v>179</v>
      </c>
      <c r="B49" s="21" t="s">
        <v>180</v>
      </c>
      <c r="C49" s="22" t="s">
        <v>181</v>
      </c>
      <c r="D49" s="23">
        <v>11302</v>
      </c>
      <c r="E49" s="24">
        <f t="shared" si="0"/>
        <v>3.5615974208765701E-2</v>
      </c>
      <c r="F49" s="25">
        <f t="shared" si="2"/>
        <v>3261.3137999263354</v>
      </c>
      <c r="G49" s="26">
        <f t="shared" si="3"/>
        <v>163.06568999631679</v>
      </c>
      <c r="H49" s="26">
        <f t="shared" si="1"/>
        <v>3424.3794899226523</v>
      </c>
    </row>
    <row r="50" spans="1:8" customFormat="1" x14ac:dyDescent="0.25">
      <c r="A50" s="20" t="s">
        <v>117</v>
      </c>
      <c r="B50" s="21" t="s">
        <v>118</v>
      </c>
      <c r="C50" s="22" t="s">
        <v>119</v>
      </c>
      <c r="D50" s="23">
        <v>4943</v>
      </c>
      <c r="E50" s="24">
        <f t="shared" si="0"/>
        <v>1.5576867856479283E-2</v>
      </c>
      <c r="F50" s="25">
        <f t="shared" si="2"/>
        <v>1426.3558762197731</v>
      </c>
      <c r="G50" s="26">
        <f t="shared" si="3"/>
        <v>71.317793810988661</v>
      </c>
      <c r="H50" s="26">
        <f t="shared" si="1"/>
        <v>1497.6736700307617</v>
      </c>
    </row>
    <row r="51" spans="1:8" customFormat="1" x14ac:dyDescent="0.25">
      <c r="A51" s="20" t="s">
        <v>120</v>
      </c>
      <c r="B51" s="21" t="s">
        <v>121</v>
      </c>
      <c r="C51" s="22">
        <v>12997366000166</v>
      </c>
      <c r="D51" s="23">
        <v>5160</v>
      </c>
      <c r="E51" s="24">
        <f t="shared" si="0"/>
        <v>1.6260699603364979E-2</v>
      </c>
      <c r="F51" s="25">
        <f t="shared" si="2"/>
        <v>1488.9735628755875</v>
      </c>
      <c r="G51" s="26">
        <f t="shared" si="3"/>
        <v>74.448678143779375</v>
      </c>
      <c r="H51" s="26">
        <f t="shared" si="1"/>
        <v>1563.422241019367</v>
      </c>
    </row>
    <row r="52" spans="1:8" customFormat="1" ht="16.5" customHeight="1" x14ac:dyDescent="0.25">
      <c r="A52" s="20" t="s">
        <v>122</v>
      </c>
      <c r="B52" s="21" t="s">
        <v>123</v>
      </c>
      <c r="C52" s="22" t="s">
        <v>124</v>
      </c>
      <c r="D52" s="23">
        <v>6586</v>
      </c>
      <c r="E52" s="24">
        <f t="shared" si="0"/>
        <v>2.0754451082899566E-2</v>
      </c>
      <c r="F52" s="25">
        <f t="shared" si="2"/>
        <v>1900.461218042368</v>
      </c>
      <c r="G52" s="26">
        <f t="shared" si="3"/>
        <v>95.023060902118402</v>
      </c>
      <c r="H52" s="26">
        <f t="shared" si="1"/>
        <v>1995.4842789444865</v>
      </c>
    </row>
    <row r="53" spans="1:8" customFormat="1" x14ac:dyDescent="0.25">
      <c r="A53" s="20" t="s">
        <v>125</v>
      </c>
      <c r="B53" s="86" t="s">
        <v>126</v>
      </c>
      <c r="C53" s="22">
        <v>11884518000151</v>
      </c>
      <c r="D53" s="23">
        <v>5644</v>
      </c>
      <c r="E53" s="24">
        <f t="shared" si="0"/>
        <v>1.7785928015773635E-2</v>
      </c>
      <c r="F53" s="25">
        <f t="shared" si="2"/>
        <v>1628.6369745871737</v>
      </c>
      <c r="G53" s="26">
        <f t="shared" si="3"/>
        <v>81.431848729358691</v>
      </c>
      <c r="H53" s="26">
        <f t="shared" si="1"/>
        <v>1710.0688233165324</v>
      </c>
    </row>
    <row r="54" spans="1:8" customFormat="1" x14ac:dyDescent="0.25">
      <c r="A54" s="20" t="s">
        <v>127</v>
      </c>
      <c r="B54" s="86" t="s">
        <v>128</v>
      </c>
      <c r="C54" s="22">
        <v>36188051000136</v>
      </c>
      <c r="D54" s="23">
        <v>6936</v>
      </c>
      <c r="E54" s="24">
        <f t="shared" si="0"/>
        <v>2.1857405513360368E-2</v>
      </c>
      <c r="F54" s="25">
        <f t="shared" si="2"/>
        <v>2001.4574868420686</v>
      </c>
      <c r="G54" s="26">
        <f t="shared" si="3"/>
        <v>100.07287434210343</v>
      </c>
      <c r="H54" s="26">
        <f t="shared" si="1"/>
        <v>2101.5303611841719</v>
      </c>
    </row>
    <row r="55" spans="1:8" customFormat="1" x14ac:dyDescent="0.25">
      <c r="A55" s="20" t="s">
        <v>129</v>
      </c>
      <c r="B55" s="86" t="s">
        <v>130</v>
      </c>
      <c r="C55" s="22" t="s">
        <v>131</v>
      </c>
      <c r="D55" s="23">
        <f>7425*40%</f>
        <v>2970</v>
      </c>
      <c r="E55" s="24">
        <f t="shared" si="0"/>
        <v>9.3593561670530998E-3</v>
      </c>
      <c r="F55" s="25">
        <f t="shared" si="2"/>
        <v>857.02548095746033</v>
      </c>
      <c r="G55" s="26">
        <f t="shared" si="3"/>
        <v>42.851274047873019</v>
      </c>
      <c r="H55" s="26">
        <f t="shared" si="1"/>
        <v>899.87675500533339</v>
      </c>
    </row>
    <row r="56" spans="1:8" customFormat="1" x14ac:dyDescent="0.25">
      <c r="A56" s="20" t="s">
        <v>132</v>
      </c>
      <c r="B56" s="86" t="s">
        <v>133</v>
      </c>
      <c r="C56" s="22">
        <v>18741082000190</v>
      </c>
      <c r="D56" s="23">
        <v>12183</v>
      </c>
      <c r="E56" s="24">
        <f t="shared" si="0"/>
        <v>3.8392268075154175E-2</v>
      </c>
      <c r="F56" s="25">
        <f t="shared" si="2"/>
        <v>3515.5358365335815</v>
      </c>
      <c r="G56" s="26">
        <f t="shared" si="3"/>
        <v>175.77679182667907</v>
      </c>
      <c r="H56" s="26">
        <f t="shared" si="1"/>
        <v>3691.3126283602605</v>
      </c>
    </row>
    <row r="57" spans="1:8" customFormat="1" x14ac:dyDescent="0.25">
      <c r="A57" s="20" t="s">
        <v>134</v>
      </c>
      <c r="B57" s="86" t="s">
        <v>135</v>
      </c>
      <c r="C57" s="22" t="s">
        <v>136</v>
      </c>
      <c r="D57" s="23">
        <v>4814</v>
      </c>
      <c r="E57" s="24">
        <f t="shared" si="0"/>
        <v>1.5170350366395158E-2</v>
      </c>
      <c r="F57" s="25">
        <f t="shared" si="2"/>
        <v>1389.1315371478834</v>
      </c>
      <c r="G57" s="26">
        <f t="shared" si="3"/>
        <v>69.456576857394168</v>
      </c>
      <c r="H57" s="26">
        <f t="shared" si="1"/>
        <v>1458.5881140052775</v>
      </c>
    </row>
    <row r="58" spans="1:8" customFormat="1" x14ac:dyDescent="0.25">
      <c r="A58" s="20" t="s">
        <v>183</v>
      </c>
      <c r="B58" s="21" t="s">
        <v>184</v>
      </c>
      <c r="C58" s="22" t="s">
        <v>185</v>
      </c>
      <c r="D58" s="23">
        <v>6188.23</v>
      </c>
      <c r="E58" s="24">
        <f t="shared" si="0"/>
        <v>1.9500959129172726E-2</v>
      </c>
      <c r="F58" s="25">
        <f>$F$15*E58</f>
        <v>1785.6804013553481</v>
      </c>
      <c r="G58" s="26">
        <f>F58*5%</f>
        <v>89.284020067767415</v>
      </c>
      <c r="H58" s="26">
        <f>F58+G58</f>
        <v>1874.9644214231155</v>
      </c>
    </row>
    <row r="59" spans="1:8" customFormat="1" x14ac:dyDescent="0.25">
      <c r="A59" s="20" t="s">
        <v>137</v>
      </c>
      <c r="B59" s="86" t="s">
        <v>138</v>
      </c>
      <c r="C59" s="22" t="s">
        <v>139</v>
      </c>
      <c r="D59" s="23">
        <v>3476.86</v>
      </c>
      <c r="E59" s="24">
        <f t="shared" si="0"/>
        <v>1.0956623260262708E-2</v>
      </c>
      <c r="F59" s="25">
        <f t="shared" si="2"/>
        <v>1003.2853918255068</v>
      </c>
      <c r="G59" s="26">
        <f t="shared" si="3"/>
        <v>50.164269591275342</v>
      </c>
      <c r="H59" s="26">
        <f t="shared" si="1"/>
        <v>1053.4496614167822</v>
      </c>
    </row>
    <row r="60" spans="1:8" customFormat="1" x14ac:dyDescent="0.25">
      <c r="A60" s="20" t="s">
        <v>140</v>
      </c>
      <c r="B60" s="28" t="s">
        <v>141</v>
      </c>
      <c r="C60" s="22">
        <v>11884518000151</v>
      </c>
      <c r="D60" s="23">
        <f>81377.44-14717-3314-9239+4126.33-9403+9177.57</f>
        <v>58008.340000000004</v>
      </c>
      <c r="E60" s="24">
        <f t="shared" si="0"/>
        <v>0.18280158744764749</v>
      </c>
      <c r="F60" s="25">
        <f t="shared" si="2"/>
        <v>16738.931140755518</v>
      </c>
      <c r="G60" s="26">
        <f t="shared" si="3"/>
        <v>836.94655703777596</v>
      </c>
      <c r="H60" s="26">
        <f t="shared" si="1"/>
        <v>17575.877697793294</v>
      </c>
    </row>
    <row r="61" spans="1:8" customFormat="1" x14ac:dyDescent="0.25">
      <c r="A61" s="34"/>
      <c r="B61" s="35"/>
      <c r="C61" s="36" t="s">
        <v>142</v>
      </c>
      <c r="D61" s="37">
        <f>SUM(D17:D60)</f>
        <v>317329.52</v>
      </c>
      <c r="E61" s="38">
        <f>SUM(E17:E60)</f>
        <v>0.99999999999999978</v>
      </c>
      <c r="F61" s="98">
        <f>SUM(F17:F60)</f>
        <v>91568.85000000002</v>
      </c>
      <c r="G61" s="98">
        <f>SUM(G17:G60)</f>
        <v>4578.4425000000001</v>
      </c>
      <c r="H61" s="99">
        <f>SUM(H17:H60)</f>
        <v>96147.292499999981</v>
      </c>
    </row>
    <row r="62" spans="1:8" customFormat="1" x14ac:dyDescent="0.25">
      <c r="D62" s="44"/>
      <c r="F62" s="41"/>
    </row>
    <row r="63" spans="1:8" customFormat="1" x14ac:dyDescent="0.25">
      <c r="F63" s="41"/>
    </row>
    <row r="64" spans="1:8" customFormat="1" x14ac:dyDescent="0.25">
      <c r="D64" s="44"/>
      <c r="E64" s="41"/>
      <c r="H64" s="42"/>
    </row>
    <row r="65" spans="5:5" customFormat="1" x14ac:dyDescent="0.25">
      <c r="E65" s="41"/>
    </row>
    <row r="66" spans="5:5" customFormat="1" x14ac:dyDescent="0.25"/>
    <row r="67" spans="5:5" customFormat="1" x14ac:dyDescent="0.25"/>
    <row r="68" spans="5:5" customFormat="1" x14ac:dyDescent="0.25"/>
    <row r="69" spans="5:5" customFormat="1" x14ac:dyDescent="0.25"/>
    <row r="70" spans="5:5" customFormat="1" x14ac:dyDescent="0.25"/>
    <row r="71" spans="5:5" customFormat="1" x14ac:dyDescent="0.25"/>
    <row r="72" spans="5:5" customFormat="1" x14ac:dyDescent="0.25"/>
    <row r="73" spans="5:5" customFormat="1" x14ac:dyDescent="0.25"/>
    <row r="74" spans="5:5" customFormat="1" x14ac:dyDescent="0.25"/>
    <row r="75" spans="5:5" customFormat="1" x14ac:dyDescent="0.25"/>
    <row r="76" spans="5:5" customFormat="1" x14ac:dyDescent="0.25"/>
    <row r="77" spans="5:5" customFormat="1" x14ac:dyDescent="0.25"/>
    <row r="78" spans="5:5" customFormat="1" x14ac:dyDescent="0.25"/>
    <row r="79" spans="5:5" customFormat="1" x14ac:dyDescent="0.25"/>
    <row r="80" spans="5:5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spans="1:8" customFormat="1" x14ac:dyDescent="0.25">
      <c r="A145" s="100"/>
      <c r="B145" s="100"/>
      <c r="C145" s="100"/>
      <c r="D145" s="100"/>
      <c r="E145" s="100"/>
    </row>
    <row r="146" spans="1:8" x14ac:dyDescent="0.25">
      <c r="F146"/>
      <c r="G146"/>
      <c r="H146"/>
    </row>
    <row r="147" spans="1:8" x14ac:dyDescent="0.25">
      <c r="F147"/>
      <c r="G147"/>
      <c r="H147"/>
    </row>
    <row r="148" spans="1:8" x14ac:dyDescent="0.25">
      <c r="F148"/>
      <c r="G148"/>
      <c r="H148"/>
    </row>
    <row r="149" spans="1:8" x14ac:dyDescent="0.25">
      <c r="F149"/>
      <c r="G149"/>
      <c r="H149"/>
    </row>
    <row r="150" spans="1:8" x14ac:dyDescent="0.25">
      <c r="F150"/>
      <c r="G150"/>
      <c r="H150"/>
    </row>
    <row r="151" spans="1:8" x14ac:dyDescent="0.25">
      <c r="F151"/>
      <c r="G151"/>
      <c r="H151"/>
    </row>
    <row r="152" spans="1:8" x14ac:dyDescent="0.25">
      <c r="F152"/>
      <c r="G152"/>
      <c r="H152"/>
    </row>
    <row r="153" spans="1:8" x14ac:dyDescent="0.25">
      <c r="F153"/>
      <c r="G153"/>
      <c r="H153"/>
    </row>
    <row r="154" spans="1:8" x14ac:dyDescent="0.25">
      <c r="F154"/>
      <c r="G154"/>
      <c r="H154"/>
    </row>
    <row r="155" spans="1:8" x14ac:dyDescent="0.25">
      <c r="F155"/>
      <c r="G155"/>
      <c r="H155"/>
    </row>
    <row r="156" spans="1:8" x14ac:dyDescent="0.25">
      <c r="F156"/>
      <c r="G156"/>
      <c r="H156"/>
    </row>
    <row r="157" spans="1:8" x14ac:dyDescent="0.25">
      <c r="F157"/>
      <c r="G157"/>
      <c r="H157"/>
    </row>
    <row r="158" spans="1:8" x14ac:dyDescent="0.25">
      <c r="F158"/>
      <c r="G158"/>
      <c r="H158"/>
    </row>
    <row r="159" spans="1:8" x14ac:dyDescent="0.25">
      <c r="F159"/>
      <c r="G159"/>
      <c r="H159"/>
    </row>
    <row r="160" spans="1:8" x14ac:dyDescent="0.25">
      <c r="F160"/>
      <c r="G160"/>
      <c r="H160"/>
    </row>
    <row r="161" spans="6:8" x14ac:dyDescent="0.25">
      <c r="F161"/>
      <c r="G161"/>
      <c r="H161"/>
    </row>
    <row r="162" spans="6:8" x14ac:dyDescent="0.25">
      <c r="F162"/>
      <c r="G162"/>
      <c r="H162"/>
    </row>
    <row r="163" spans="6:8" x14ac:dyDescent="0.25">
      <c r="F163"/>
      <c r="G163"/>
      <c r="H163"/>
    </row>
    <row r="164" spans="6:8" x14ac:dyDescent="0.25">
      <c r="F164"/>
      <c r="G164"/>
      <c r="H164"/>
    </row>
    <row r="165" spans="6:8" x14ac:dyDescent="0.25">
      <c r="F165"/>
      <c r="G165"/>
      <c r="H165"/>
    </row>
    <row r="166" spans="6:8" x14ac:dyDescent="0.25">
      <c r="F166"/>
      <c r="G166"/>
      <c r="H166"/>
    </row>
    <row r="167" spans="6:8" x14ac:dyDescent="0.25">
      <c r="F167"/>
      <c r="G167"/>
      <c r="H167"/>
    </row>
    <row r="168" spans="6:8" x14ac:dyDescent="0.25">
      <c r="F168"/>
      <c r="G168"/>
      <c r="H168"/>
    </row>
    <row r="169" spans="6:8" x14ac:dyDescent="0.25">
      <c r="F169"/>
      <c r="G169"/>
      <c r="H169"/>
    </row>
    <row r="170" spans="6:8" x14ac:dyDescent="0.25">
      <c r="F170"/>
      <c r="G170"/>
      <c r="H170"/>
    </row>
    <row r="171" spans="6:8" x14ac:dyDescent="0.25">
      <c r="F171"/>
      <c r="G171"/>
      <c r="H171"/>
    </row>
    <row r="172" spans="6:8" x14ac:dyDescent="0.25">
      <c r="F172"/>
      <c r="G172"/>
      <c r="H172"/>
    </row>
    <row r="173" spans="6:8" x14ac:dyDescent="0.25">
      <c r="F173"/>
      <c r="G173"/>
      <c r="H173"/>
    </row>
    <row r="174" spans="6:8" x14ac:dyDescent="0.25">
      <c r="F174"/>
      <c r="G174"/>
      <c r="H174"/>
    </row>
    <row r="175" spans="6:8" x14ac:dyDescent="0.25">
      <c r="F175"/>
      <c r="G175"/>
      <c r="H175"/>
    </row>
    <row r="176" spans="6:8" x14ac:dyDescent="0.25">
      <c r="F176"/>
      <c r="G176"/>
      <c r="H176"/>
    </row>
    <row r="177" spans="6:8" x14ac:dyDescent="0.25">
      <c r="F177"/>
      <c r="G177"/>
      <c r="H177"/>
    </row>
    <row r="178" spans="6:8" x14ac:dyDescent="0.25">
      <c r="F178"/>
      <c r="G178"/>
      <c r="H178"/>
    </row>
    <row r="179" spans="6:8" x14ac:dyDescent="0.25">
      <c r="F179"/>
      <c r="G179"/>
      <c r="H179"/>
    </row>
    <row r="180" spans="6:8" x14ac:dyDescent="0.25">
      <c r="F180"/>
      <c r="G180"/>
      <c r="H180"/>
    </row>
    <row r="181" spans="6:8" x14ac:dyDescent="0.25">
      <c r="F181"/>
      <c r="G181"/>
      <c r="H181"/>
    </row>
    <row r="182" spans="6:8" x14ac:dyDescent="0.25">
      <c r="F182"/>
      <c r="G182"/>
      <c r="H182"/>
    </row>
    <row r="183" spans="6:8" x14ac:dyDescent="0.25">
      <c r="F183"/>
      <c r="G183"/>
      <c r="H183"/>
    </row>
    <row r="184" spans="6:8" x14ac:dyDescent="0.25">
      <c r="F184"/>
      <c r="G184"/>
      <c r="H184"/>
    </row>
    <row r="185" spans="6:8" x14ac:dyDescent="0.25">
      <c r="F185"/>
      <c r="G185"/>
      <c r="H185"/>
    </row>
    <row r="186" spans="6:8" x14ac:dyDescent="0.25">
      <c r="F186"/>
      <c r="G186"/>
      <c r="H186"/>
    </row>
    <row r="187" spans="6:8" x14ac:dyDescent="0.25">
      <c r="F187"/>
      <c r="G187"/>
      <c r="H187"/>
    </row>
    <row r="188" spans="6:8" x14ac:dyDescent="0.25">
      <c r="F188"/>
      <c r="G188"/>
      <c r="H188"/>
    </row>
    <row r="189" spans="6:8" x14ac:dyDescent="0.25">
      <c r="F189"/>
      <c r="G189"/>
      <c r="H189"/>
    </row>
    <row r="190" spans="6:8" x14ac:dyDescent="0.25">
      <c r="F190"/>
      <c r="G190"/>
      <c r="H190"/>
    </row>
    <row r="191" spans="6:8" x14ac:dyDescent="0.25">
      <c r="F191"/>
      <c r="G191"/>
      <c r="H191"/>
    </row>
    <row r="192" spans="6:8" x14ac:dyDescent="0.25">
      <c r="F192"/>
      <c r="G192"/>
      <c r="H192"/>
    </row>
    <row r="193" spans="6:8" x14ac:dyDescent="0.25">
      <c r="F193"/>
      <c r="G193"/>
      <c r="H193"/>
    </row>
    <row r="194" spans="6:8" x14ac:dyDescent="0.25">
      <c r="F194"/>
      <c r="G194"/>
      <c r="H194"/>
    </row>
    <row r="195" spans="6:8" x14ac:dyDescent="0.25">
      <c r="F195"/>
      <c r="G195"/>
      <c r="H195"/>
    </row>
    <row r="196" spans="6:8" x14ac:dyDescent="0.25">
      <c r="F196"/>
      <c r="G196"/>
      <c r="H196"/>
    </row>
    <row r="197" spans="6:8" x14ac:dyDescent="0.25">
      <c r="F197"/>
      <c r="G197"/>
      <c r="H197"/>
    </row>
    <row r="198" spans="6:8" x14ac:dyDescent="0.25">
      <c r="F198"/>
      <c r="G198"/>
      <c r="H198"/>
    </row>
    <row r="199" spans="6:8" x14ac:dyDescent="0.25">
      <c r="F199"/>
      <c r="G199"/>
      <c r="H199"/>
    </row>
    <row r="200" spans="6:8" x14ac:dyDescent="0.25">
      <c r="F200"/>
      <c r="G200"/>
      <c r="H200"/>
    </row>
    <row r="201" spans="6:8" x14ac:dyDescent="0.25">
      <c r="F201"/>
      <c r="G201"/>
      <c r="H201"/>
    </row>
    <row r="202" spans="6:8" x14ac:dyDescent="0.25">
      <c r="F202"/>
      <c r="G202"/>
      <c r="H202"/>
    </row>
    <row r="203" spans="6:8" x14ac:dyDescent="0.25">
      <c r="F203"/>
      <c r="G203"/>
      <c r="H203"/>
    </row>
    <row r="204" spans="6:8" x14ac:dyDescent="0.25">
      <c r="F204"/>
      <c r="G204"/>
      <c r="H204"/>
    </row>
    <row r="205" spans="6:8" x14ac:dyDescent="0.25">
      <c r="F205"/>
      <c r="G205"/>
      <c r="H205"/>
    </row>
    <row r="206" spans="6:8" x14ac:dyDescent="0.25">
      <c r="F206"/>
      <c r="G206"/>
      <c r="H206"/>
    </row>
    <row r="207" spans="6:8" x14ac:dyDescent="0.25">
      <c r="F207"/>
      <c r="G207"/>
      <c r="H207"/>
    </row>
    <row r="208" spans="6:8" x14ac:dyDescent="0.25">
      <c r="F208"/>
      <c r="G208"/>
      <c r="H208"/>
    </row>
    <row r="209" spans="6:8" x14ac:dyDescent="0.25">
      <c r="F209"/>
      <c r="G209"/>
      <c r="H209"/>
    </row>
    <row r="210" spans="6:8" x14ac:dyDescent="0.25">
      <c r="F210"/>
      <c r="G210"/>
      <c r="H210"/>
    </row>
    <row r="211" spans="6:8" x14ac:dyDescent="0.25">
      <c r="F211"/>
      <c r="G211"/>
      <c r="H211"/>
    </row>
    <row r="212" spans="6:8" x14ac:dyDescent="0.25">
      <c r="F212"/>
      <c r="G212"/>
      <c r="H212"/>
    </row>
    <row r="213" spans="6:8" x14ac:dyDescent="0.25">
      <c r="F213"/>
      <c r="G213"/>
      <c r="H213"/>
    </row>
    <row r="214" spans="6:8" x14ac:dyDescent="0.25">
      <c r="F214"/>
      <c r="G214"/>
      <c r="H214"/>
    </row>
    <row r="215" spans="6:8" x14ac:dyDescent="0.25">
      <c r="F215"/>
      <c r="G215"/>
      <c r="H215"/>
    </row>
    <row r="216" spans="6:8" x14ac:dyDescent="0.25">
      <c r="F216"/>
      <c r="G216"/>
      <c r="H216"/>
    </row>
    <row r="217" spans="6:8" x14ac:dyDescent="0.25">
      <c r="F217"/>
      <c r="G217"/>
      <c r="H217"/>
    </row>
    <row r="218" spans="6:8" x14ac:dyDescent="0.25">
      <c r="F218"/>
      <c r="G218"/>
      <c r="H218"/>
    </row>
    <row r="219" spans="6:8" x14ac:dyDescent="0.25">
      <c r="F219"/>
      <c r="G219"/>
      <c r="H219"/>
    </row>
    <row r="220" spans="6:8" x14ac:dyDescent="0.25">
      <c r="F220"/>
      <c r="G220"/>
      <c r="H220"/>
    </row>
    <row r="221" spans="6:8" x14ac:dyDescent="0.25">
      <c r="F221"/>
      <c r="G221"/>
      <c r="H221"/>
    </row>
    <row r="222" spans="6:8" x14ac:dyDescent="0.25">
      <c r="F222"/>
      <c r="G222"/>
      <c r="H222"/>
    </row>
    <row r="223" spans="6:8" x14ac:dyDescent="0.25">
      <c r="F223"/>
      <c r="G223"/>
      <c r="H223"/>
    </row>
    <row r="224" spans="6:8" x14ac:dyDescent="0.25">
      <c r="F224"/>
      <c r="G224"/>
      <c r="H224"/>
    </row>
    <row r="225" spans="6:8" x14ac:dyDescent="0.25">
      <c r="F225"/>
      <c r="G225"/>
      <c r="H225"/>
    </row>
    <row r="226" spans="6:8" x14ac:dyDescent="0.25">
      <c r="F226"/>
      <c r="G226"/>
      <c r="H226"/>
    </row>
    <row r="227" spans="6:8" x14ac:dyDescent="0.25">
      <c r="G227"/>
      <c r="H227"/>
    </row>
  </sheetData>
  <mergeCells count="1">
    <mergeCell ref="B1:G1"/>
  </mergeCells>
  <pageMargins left="0.511811024" right="0.511811024" top="0.78740157499999996" bottom="0.78740157499999996" header="0.31496062000000002" footer="0.31496062000000002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81402-91E3-4C0A-ABC2-7BF5F6440F99}">
  <dimension ref="A1:L228"/>
  <sheetViews>
    <sheetView topLeftCell="A44" zoomScaleNormal="100" workbookViewId="0">
      <selection activeCell="A55" sqref="A55:XFD55"/>
    </sheetView>
  </sheetViews>
  <sheetFormatPr defaultColWidth="9.140625" defaultRowHeight="15" x14ac:dyDescent="0.25"/>
  <cols>
    <col min="1" max="1" width="29.5703125" style="45" customWidth="1"/>
    <col min="2" max="2" width="45.28515625" style="45" customWidth="1"/>
    <col min="3" max="3" width="29.7109375" style="45" customWidth="1"/>
    <col min="4" max="4" width="21.42578125" style="45" customWidth="1"/>
    <col min="5" max="5" width="17.42578125" style="45" customWidth="1"/>
    <col min="6" max="6" width="16.42578125" style="45" customWidth="1"/>
    <col min="7" max="7" width="17.140625" style="45" customWidth="1"/>
    <col min="8" max="8" width="16.85546875" style="45" bestFit="1" customWidth="1"/>
    <col min="9" max="16384" width="9.140625" style="45"/>
  </cols>
  <sheetData>
    <row r="1" spans="1:8" customFormat="1" ht="21.75" customHeight="1" x14ac:dyDescent="0.25">
      <c r="A1" s="46"/>
      <c r="B1" s="112" t="s">
        <v>0</v>
      </c>
      <c r="C1" s="113"/>
      <c r="D1" s="113"/>
      <c r="E1" s="113"/>
      <c r="F1" s="113"/>
      <c r="G1" s="114"/>
      <c r="H1" s="47"/>
    </row>
    <row r="2" spans="1:8" customFormat="1" ht="30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3"/>
      <c r="F2" s="4" t="s">
        <v>5</v>
      </c>
      <c r="G2" s="5"/>
      <c r="H2" s="6"/>
    </row>
    <row r="3" spans="1:8" customFormat="1" ht="30.6" customHeight="1" x14ac:dyDescent="0.25">
      <c r="A3" s="7">
        <v>1</v>
      </c>
      <c r="B3" s="8" t="s">
        <v>6</v>
      </c>
      <c r="C3" s="8"/>
      <c r="D3" s="9">
        <v>45870</v>
      </c>
      <c r="E3" s="9"/>
      <c r="F3" s="10">
        <f>532.69+550+5000</f>
        <v>6082.6900000000005</v>
      </c>
      <c r="G3" s="5"/>
      <c r="H3" s="6"/>
    </row>
    <row r="4" spans="1:8" customFormat="1" ht="30.6" customHeight="1" x14ac:dyDescent="0.25">
      <c r="A4" s="7">
        <v>2</v>
      </c>
      <c r="B4" s="8" t="s">
        <v>8</v>
      </c>
      <c r="C4" s="8" t="s">
        <v>9</v>
      </c>
      <c r="D4" s="9">
        <v>45870</v>
      </c>
      <c r="E4" s="9"/>
      <c r="F4" s="10">
        <v>39590</v>
      </c>
      <c r="G4" s="5"/>
      <c r="H4" s="11"/>
    </row>
    <row r="5" spans="1:8" customFormat="1" ht="30.6" customHeight="1" x14ac:dyDescent="0.25">
      <c r="A5" s="7">
        <v>3</v>
      </c>
      <c r="B5" s="8" t="s">
        <v>10</v>
      </c>
      <c r="C5" s="12" t="s">
        <v>11</v>
      </c>
      <c r="D5" s="9">
        <v>45870</v>
      </c>
      <c r="E5" s="9"/>
      <c r="F5" s="10">
        <v>39510.6</v>
      </c>
      <c r="G5" s="5"/>
      <c r="H5" s="11"/>
    </row>
    <row r="6" spans="1:8" customFormat="1" ht="30.6" customHeight="1" x14ac:dyDescent="0.25">
      <c r="A6" s="7">
        <v>4</v>
      </c>
      <c r="B6" s="8" t="s">
        <v>12</v>
      </c>
      <c r="C6" s="8"/>
      <c r="D6" s="9">
        <v>45870</v>
      </c>
      <c r="E6" s="9"/>
      <c r="F6" s="10">
        <v>395.8</v>
      </c>
      <c r="G6" s="5"/>
      <c r="H6" s="6"/>
    </row>
    <row r="7" spans="1:8" customFormat="1" ht="30.6" customHeight="1" x14ac:dyDescent="0.25">
      <c r="A7" s="7">
        <v>5</v>
      </c>
      <c r="B7" s="8" t="s">
        <v>13</v>
      </c>
      <c r="C7" s="8" t="s">
        <v>14</v>
      </c>
      <c r="D7" s="9">
        <v>45870</v>
      </c>
      <c r="E7" s="9"/>
      <c r="F7" s="13">
        <v>1518</v>
      </c>
      <c r="G7" s="5"/>
      <c r="H7" s="6"/>
    </row>
    <row r="8" spans="1:8" customFormat="1" ht="30.6" customHeight="1" x14ac:dyDescent="0.25">
      <c r="A8" s="7">
        <v>6</v>
      </c>
      <c r="B8" s="8" t="s">
        <v>15</v>
      </c>
      <c r="C8" s="8" t="s">
        <v>16</v>
      </c>
      <c r="D8" s="9">
        <v>45870</v>
      </c>
      <c r="E8" s="9"/>
      <c r="F8" s="13">
        <v>2500</v>
      </c>
      <c r="G8" s="5"/>
      <c r="H8" s="6"/>
    </row>
    <row r="9" spans="1:8" customFormat="1" ht="34.5" customHeight="1" x14ac:dyDescent="0.25">
      <c r="A9" s="7">
        <v>7</v>
      </c>
      <c r="B9" s="14" t="s">
        <v>17</v>
      </c>
      <c r="C9" s="12" t="s">
        <v>18</v>
      </c>
      <c r="D9" s="9">
        <v>45870</v>
      </c>
      <c r="E9" s="9"/>
      <c r="F9" s="13">
        <v>880</v>
      </c>
      <c r="G9" s="5"/>
      <c r="H9" s="6"/>
    </row>
    <row r="10" spans="1:8" customFormat="1" ht="30.6" customHeight="1" x14ac:dyDescent="0.25">
      <c r="A10" s="7">
        <v>8</v>
      </c>
      <c r="B10" s="14" t="s">
        <v>19</v>
      </c>
      <c r="C10" s="14" t="s">
        <v>20</v>
      </c>
      <c r="D10" s="9">
        <v>45870</v>
      </c>
      <c r="E10" s="9"/>
      <c r="F10" s="13">
        <v>134.36000000000001</v>
      </c>
      <c r="G10" s="5"/>
      <c r="H10" s="6"/>
    </row>
    <row r="11" spans="1:8" customFormat="1" ht="30.6" customHeight="1" x14ac:dyDescent="0.25">
      <c r="A11" s="7">
        <v>9</v>
      </c>
      <c r="B11" s="14" t="s">
        <v>149</v>
      </c>
      <c r="C11" s="14" t="s">
        <v>150</v>
      </c>
      <c r="D11" s="9">
        <v>45870</v>
      </c>
      <c r="E11" s="9"/>
      <c r="F11" s="13">
        <v>149.9</v>
      </c>
      <c r="G11" s="5"/>
      <c r="H11" s="6"/>
    </row>
    <row r="12" spans="1:8" customFormat="1" ht="30.6" customHeight="1" x14ac:dyDescent="0.25">
      <c r="A12" s="7">
        <v>10</v>
      </c>
      <c r="B12" s="14" t="s">
        <v>21</v>
      </c>
      <c r="C12" s="12" t="s">
        <v>22</v>
      </c>
      <c r="D12" s="9">
        <v>45870</v>
      </c>
      <c r="E12" s="9"/>
      <c r="F12" s="13">
        <v>308</v>
      </c>
      <c r="G12" s="5"/>
      <c r="H12" s="15"/>
    </row>
    <row r="13" spans="1:8" customFormat="1" ht="30.6" customHeight="1" x14ac:dyDescent="0.25">
      <c r="A13" s="7">
        <v>11</v>
      </c>
      <c r="B13" s="14" t="s">
        <v>23</v>
      </c>
      <c r="C13" s="8"/>
      <c r="D13" s="9">
        <v>45870</v>
      </c>
      <c r="E13" s="9"/>
      <c r="F13" s="13">
        <v>200</v>
      </c>
      <c r="G13" s="5"/>
      <c r="H13" s="6"/>
    </row>
    <row r="14" spans="1:8" customFormat="1" ht="31.5" customHeight="1" x14ac:dyDescent="0.25">
      <c r="A14" s="7">
        <v>12</v>
      </c>
      <c r="B14" s="14" t="s">
        <v>26</v>
      </c>
      <c r="C14" s="12" t="s">
        <v>182</v>
      </c>
      <c r="D14" s="9">
        <v>45870</v>
      </c>
      <c r="E14" s="9"/>
      <c r="F14" s="13">
        <v>299.5</v>
      </c>
      <c r="G14" s="5"/>
      <c r="H14" s="6"/>
    </row>
    <row r="15" spans="1:8" customFormat="1" ht="42" customHeight="1" x14ac:dyDescent="0.25">
      <c r="A15" s="48"/>
      <c r="B15" s="49" t="s">
        <v>31</v>
      </c>
      <c r="C15" s="50"/>
      <c r="D15" s="51"/>
      <c r="E15" s="52"/>
      <c r="F15" s="53">
        <f>SUM(F3:F14)</f>
        <v>91568.85</v>
      </c>
      <c r="G15" s="54"/>
      <c r="H15" s="55"/>
    </row>
    <row r="16" spans="1:8" customFormat="1" ht="21.75" customHeight="1" x14ac:dyDescent="0.25">
      <c r="A16" s="16" t="s">
        <v>32</v>
      </c>
      <c r="B16" s="17" t="s">
        <v>33</v>
      </c>
      <c r="C16" s="18" t="s">
        <v>34</v>
      </c>
      <c r="D16" s="16" t="s">
        <v>35</v>
      </c>
      <c r="E16" s="16" t="s">
        <v>36</v>
      </c>
      <c r="F16" s="16" t="s">
        <v>37</v>
      </c>
      <c r="G16" s="19" t="s">
        <v>38</v>
      </c>
      <c r="H16" s="18" t="s">
        <v>39</v>
      </c>
    </row>
    <row r="17" spans="1:12" s="72" customFormat="1" ht="15" customHeight="1" x14ac:dyDescent="0.25">
      <c r="A17" s="65" t="s">
        <v>40</v>
      </c>
      <c r="B17" s="66" t="s">
        <v>41</v>
      </c>
      <c r="C17" s="67" t="s">
        <v>42</v>
      </c>
      <c r="D17" s="68">
        <v>4016</v>
      </c>
      <c r="E17" s="69">
        <f>D17/$D$62</f>
        <v>1.261051708332556E-2</v>
      </c>
      <c r="F17" s="70">
        <f>$F$15*E17</f>
        <v>1154.7305472254757</v>
      </c>
      <c r="G17" s="71">
        <f>F17*5%</f>
        <v>57.736527361273787</v>
      </c>
      <c r="H17" s="71">
        <f t="shared" ref="H17:H61" si="0">F17+G17</f>
        <v>1212.4670745867495</v>
      </c>
    </row>
    <row r="18" spans="1:12" s="74" customFormat="1" x14ac:dyDescent="0.25">
      <c r="A18" s="65" t="s">
        <v>43</v>
      </c>
      <c r="B18" s="73" t="s">
        <v>44</v>
      </c>
      <c r="C18" s="67">
        <v>18778225000139</v>
      </c>
      <c r="D18" s="68">
        <v>8711.2199999999993</v>
      </c>
      <c r="E18" s="69">
        <f t="shared" ref="E18:E61" si="1">D18/$D$62</f>
        <v>2.7353831829334482E-2</v>
      </c>
      <c r="F18" s="70">
        <f t="shared" ref="F18:F61" si="2">$F$15*E18</f>
        <v>2504.7589237055549</v>
      </c>
      <c r="G18" s="71">
        <f t="shared" ref="G18:G61" si="3">F18*5%</f>
        <v>125.23794618527775</v>
      </c>
      <c r="H18" s="71">
        <f t="shared" si="0"/>
        <v>2629.9968698908328</v>
      </c>
    </row>
    <row r="19" spans="1:12" s="74" customFormat="1" x14ac:dyDescent="0.25">
      <c r="A19" s="65" t="s">
        <v>45</v>
      </c>
      <c r="B19" s="73" t="s">
        <v>46</v>
      </c>
      <c r="C19" s="67">
        <v>41993875000119</v>
      </c>
      <c r="D19" s="68">
        <v>3641.8</v>
      </c>
      <c r="E19" s="69">
        <f t="shared" si="1"/>
        <v>1.143550326545195E-2</v>
      </c>
      <c r="F19" s="70">
        <f t="shared" si="2"/>
        <v>1047.1358831886798</v>
      </c>
      <c r="G19" s="71">
        <f t="shared" si="3"/>
        <v>52.356794159433996</v>
      </c>
      <c r="H19" s="71">
        <f t="shared" si="0"/>
        <v>1099.4926773481138</v>
      </c>
    </row>
    <row r="20" spans="1:12" s="74" customFormat="1" x14ac:dyDescent="0.25">
      <c r="A20" s="65" t="s">
        <v>47</v>
      </c>
      <c r="B20" s="66" t="s">
        <v>48</v>
      </c>
      <c r="C20" s="67">
        <v>24781302000102</v>
      </c>
      <c r="D20" s="68">
        <v>3430</v>
      </c>
      <c r="E20" s="69">
        <f t="shared" si="1"/>
        <v>1.07704366523423E-2</v>
      </c>
      <c r="F20" s="70">
        <f t="shared" si="2"/>
        <v>986.23649825283428</v>
      </c>
      <c r="G20" s="71">
        <f t="shared" si="3"/>
        <v>49.311824912641718</v>
      </c>
      <c r="H20" s="71">
        <f t="shared" si="0"/>
        <v>1035.5483231654759</v>
      </c>
    </row>
    <row r="21" spans="1:12" customFormat="1" x14ac:dyDescent="0.25">
      <c r="A21" s="20" t="s">
        <v>161</v>
      </c>
      <c r="B21" s="66" t="s">
        <v>162</v>
      </c>
      <c r="C21" s="22" t="s">
        <v>163</v>
      </c>
      <c r="D21" s="23">
        <v>9403</v>
      </c>
      <c r="E21" s="69">
        <f t="shared" si="1"/>
        <v>2.9526068758593187E-2</v>
      </c>
      <c r="F21" s="70">
        <f t="shared" si="2"/>
        <v>2703.6681612453058</v>
      </c>
      <c r="G21" s="26">
        <f t="shared" si="3"/>
        <v>135.1834080622653</v>
      </c>
      <c r="H21" s="26">
        <f t="shared" si="0"/>
        <v>2838.851569307571</v>
      </c>
    </row>
    <row r="22" spans="1:12" s="74" customFormat="1" x14ac:dyDescent="0.25">
      <c r="A22" s="65" t="s">
        <v>49</v>
      </c>
      <c r="B22" s="66" t="s">
        <v>50</v>
      </c>
      <c r="C22" s="67">
        <v>38649716000197</v>
      </c>
      <c r="D22" s="68">
        <v>3440</v>
      </c>
      <c r="E22" s="69">
        <f t="shared" si="1"/>
        <v>1.0801837342290819E-2</v>
      </c>
      <c r="F22" s="70">
        <f t="shared" si="2"/>
        <v>989.11182332062674</v>
      </c>
      <c r="G22" s="71">
        <f t="shared" si="3"/>
        <v>49.45559116603134</v>
      </c>
      <c r="H22" s="71">
        <f t="shared" si="0"/>
        <v>1038.567414486658</v>
      </c>
    </row>
    <row r="23" spans="1:12" s="74" customFormat="1" x14ac:dyDescent="0.25">
      <c r="A23" s="65" t="s">
        <v>51</v>
      </c>
      <c r="B23" s="66" t="s">
        <v>52</v>
      </c>
      <c r="C23" s="67" t="s">
        <v>53</v>
      </c>
      <c r="D23" s="68">
        <v>4056</v>
      </c>
      <c r="E23" s="69">
        <f t="shared" si="1"/>
        <v>1.2736119843119641E-2</v>
      </c>
      <c r="F23" s="70">
        <f t="shared" si="2"/>
        <v>1166.231847496646</v>
      </c>
      <c r="G23" s="71">
        <f t="shared" si="3"/>
        <v>58.311592374832301</v>
      </c>
      <c r="H23" s="71">
        <f t="shared" si="0"/>
        <v>1224.5434398714783</v>
      </c>
    </row>
    <row r="24" spans="1:12" s="74" customFormat="1" x14ac:dyDescent="0.25">
      <c r="A24" s="65" t="s">
        <v>54</v>
      </c>
      <c r="B24" s="66" t="s">
        <v>55</v>
      </c>
      <c r="C24" s="67" t="s">
        <v>56</v>
      </c>
      <c r="D24" s="68">
        <v>11580</v>
      </c>
      <c r="E24" s="69">
        <f t="shared" si="1"/>
        <v>3.6361998960385951E-2</v>
      </c>
      <c r="F24" s="70">
        <f t="shared" si="2"/>
        <v>3329.6264285037373</v>
      </c>
      <c r="G24" s="71">
        <f t="shared" si="3"/>
        <v>166.48132142518688</v>
      </c>
      <c r="H24" s="71">
        <f t="shared" si="0"/>
        <v>3496.107749928924</v>
      </c>
    </row>
    <row r="25" spans="1:12" s="74" customFormat="1" x14ac:dyDescent="0.25">
      <c r="A25" s="65" t="s">
        <v>57</v>
      </c>
      <c r="B25" s="66" t="s">
        <v>58</v>
      </c>
      <c r="C25" s="58" t="s">
        <v>178</v>
      </c>
      <c r="D25" s="68">
        <f>360+360+1510</f>
        <v>2230</v>
      </c>
      <c r="E25" s="69">
        <f t="shared" si="1"/>
        <v>7.0023538585199203E-3</v>
      </c>
      <c r="F25" s="70">
        <f t="shared" si="2"/>
        <v>641.19749011773183</v>
      </c>
      <c r="G25" s="71">
        <f t="shared" si="3"/>
        <v>32.05987450588659</v>
      </c>
      <c r="H25" s="71">
        <f t="shared" si="0"/>
        <v>673.2573646236184</v>
      </c>
    </row>
    <row r="26" spans="1:12" s="79" customFormat="1" ht="15.75" customHeight="1" x14ac:dyDescent="0.25">
      <c r="A26" s="65" t="s">
        <v>60</v>
      </c>
      <c r="B26" s="75" t="s">
        <v>61</v>
      </c>
      <c r="C26" s="76" t="s">
        <v>62</v>
      </c>
      <c r="D26" s="68">
        <f>5224+3930</f>
        <v>9154</v>
      </c>
      <c r="E26" s="69">
        <f t="shared" si="1"/>
        <v>2.8744191578875044E-2</v>
      </c>
      <c r="F26" s="70">
        <f t="shared" si="2"/>
        <v>2632.0725670572724</v>
      </c>
      <c r="G26" s="71">
        <f t="shared" si="3"/>
        <v>131.60362835286364</v>
      </c>
      <c r="H26" s="77">
        <f t="shared" si="0"/>
        <v>2763.6761954101362</v>
      </c>
      <c r="I26" s="78" t="s">
        <v>63</v>
      </c>
      <c r="L26" s="79" t="s">
        <v>64</v>
      </c>
    </row>
    <row r="27" spans="1:12" s="74" customFormat="1" ht="15.75" customHeight="1" x14ac:dyDescent="0.25">
      <c r="A27" s="65" t="s">
        <v>65</v>
      </c>
      <c r="B27" s="73" t="s">
        <v>66</v>
      </c>
      <c r="C27" s="67" t="s">
        <v>67</v>
      </c>
      <c r="D27" s="68">
        <v>2610</v>
      </c>
      <c r="E27" s="69">
        <f t="shared" si="1"/>
        <v>8.195580076563673E-3</v>
      </c>
      <c r="F27" s="70">
        <f t="shared" si="2"/>
        <v>750.45984269384758</v>
      </c>
      <c r="G27" s="71">
        <f t="shared" si="3"/>
        <v>37.52299213469238</v>
      </c>
      <c r="H27" s="71">
        <f t="shared" si="0"/>
        <v>787.98283482853992</v>
      </c>
    </row>
    <row r="28" spans="1:12" s="74" customFormat="1" ht="15.75" customHeight="1" x14ac:dyDescent="0.25">
      <c r="A28" s="65" t="s">
        <v>68</v>
      </c>
      <c r="B28" s="73" t="s">
        <v>69</v>
      </c>
      <c r="C28" s="67" t="s">
        <v>70</v>
      </c>
      <c r="D28" s="68">
        <v>5515</v>
      </c>
      <c r="E28" s="69">
        <f t="shared" si="1"/>
        <v>1.7317480506608682E-2</v>
      </c>
      <c r="F28" s="70">
        <f t="shared" si="2"/>
        <v>1585.7417748875746</v>
      </c>
      <c r="G28" s="71">
        <f t="shared" si="3"/>
        <v>79.287088744378735</v>
      </c>
      <c r="H28" s="71">
        <f t="shared" si="0"/>
        <v>1665.0288636319533</v>
      </c>
    </row>
    <row r="29" spans="1:12" s="74" customFormat="1" ht="15.75" customHeight="1" x14ac:dyDescent="0.25">
      <c r="A29" s="65" t="s">
        <v>71</v>
      </c>
      <c r="B29" s="66" t="s">
        <v>72</v>
      </c>
      <c r="C29" s="67">
        <v>17202383000183</v>
      </c>
      <c r="D29" s="68">
        <v>15332</v>
      </c>
      <c r="E29" s="69">
        <f t="shared" si="1"/>
        <v>4.814353782907059E-2</v>
      </c>
      <c r="F29" s="70">
        <f t="shared" si="2"/>
        <v>4408.4483939394904</v>
      </c>
      <c r="G29" s="71">
        <f t="shared" si="3"/>
        <v>220.42241969697454</v>
      </c>
      <c r="H29" s="71">
        <f t="shared" si="0"/>
        <v>4628.8708136364648</v>
      </c>
    </row>
    <row r="30" spans="1:12" s="74" customFormat="1" ht="15.75" customHeight="1" x14ac:dyDescent="0.25">
      <c r="A30" s="65" t="s">
        <v>73</v>
      </c>
      <c r="B30" s="66" t="s">
        <v>74</v>
      </c>
      <c r="C30" s="67">
        <v>18183488000103</v>
      </c>
      <c r="D30" s="68">
        <v>7238</v>
      </c>
      <c r="E30" s="69">
        <f t="shared" si="1"/>
        <v>2.2727819384738647E-2</v>
      </c>
      <c r="F30" s="70">
        <f t="shared" si="2"/>
        <v>2081.1602840682258</v>
      </c>
      <c r="G30" s="71">
        <f t="shared" si="3"/>
        <v>104.05801420341129</v>
      </c>
      <c r="H30" s="71">
        <f t="shared" si="0"/>
        <v>2185.2182982716372</v>
      </c>
    </row>
    <row r="31" spans="1:12" s="74" customFormat="1" x14ac:dyDescent="0.25">
      <c r="A31" s="65" t="s">
        <v>75</v>
      </c>
      <c r="B31" s="66" t="s">
        <v>76</v>
      </c>
      <c r="C31" s="67">
        <v>18244070000150</v>
      </c>
      <c r="D31" s="68">
        <v>5941</v>
      </c>
      <c r="E31" s="69">
        <f t="shared" si="1"/>
        <v>1.8655149898415626E-2</v>
      </c>
      <c r="F31" s="70">
        <f t="shared" si="2"/>
        <v>1708.2306227755357</v>
      </c>
      <c r="G31" s="71">
        <f t="shared" si="3"/>
        <v>85.411531138776795</v>
      </c>
      <c r="H31" s="71">
        <f t="shared" si="0"/>
        <v>1793.6421539143125</v>
      </c>
    </row>
    <row r="32" spans="1:12" s="74" customFormat="1" x14ac:dyDescent="0.25">
      <c r="A32" s="65" t="s">
        <v>77</v>
      </c>
      <c r="B32" s="66" t="s">
        <v>78</v>
      </c>
      <c r="C32" s="67">
        <v>18244039000110</v>
      </c>
      <c r="D32" s="68">
        <v>4460</v>
      </c>
      <c r="E32" s="69">
        <f t="shared" si="1"/>
        <v>1.4004707717039841E-2</v>
      </c>
      <c r="F32" s="70">
        <f t="shared" si="2"/>
        <v>1282.3949802354637</v>
      </c>
      <c r="G32" s="71">
        <f t="shared" si="3"/>
        <v>64.11974901177318</v>
      </c>
      <c r="H32" s="71">
        <f t="shared" si="0"/>
        <v>1346.5147292472368</v>
      </c>
    </row>
    <row r="33" spans="1:12" s="74" customFormat="1" x14ac:dyDescent="0.25">
      <c r="A33" s="65" t="s">
        <v>79</v>
      </c>
      <c r="B33" s="66" t="s">
        <v>153</v>
      </c>
      <c r="C33" s="67" t="s">
        <v>154</v>
      </c>
      <c r="D33" s="68">
        <v>4415</v>
      </c>
      <c r="E33" s="69">
        <f t="shared" si="1"/>
        <v>1.3863404612271502E-2</v>
      </c>
      <c r="F33" s="70">
        <f t="shared" si="2"/>
        <v>1269.4560174303974</v>
      </c>
      <c r="G33" s="71">
        <f t="shared" si="3"/>
        <v>63.472800871519873</v>
      </c>
      <c r="H33" s="71">
        <f t="shared" si="0"/>
        <v>1332.9288183019173</v>
      </c>
    </row>
    <row r="34" spans="1:12" s="74" customFormat="1" x14ac:dyDescent="0.25">
      <c r="A34" s="65" t="s">
        <v>81</v>
      </c>
      <c r="B34" s="66" t="s">
        <v>82</v>
      </c>
      <c r="C34" s="67" t="s">
        <v>83</v>
      </c>
      <c r="D34" s="68">
        <v>8673</v>
      </c>
      <c r="E34" s="69">
        <f t="shared" si="1"/>
        <v>2.7233818392351242E-2</v>
      </c>
      <c r="F34" s="70">
        <f t="shared" si="2"/>
        <v>2493.7694312964522</v>
      </c>
      <c r="G34" s="71">
        <f t="shared" si="3"/>
        <v>124.68847156482262</v>
      </c>
      <c r="H34" s="71">
        <f t="shared" si="0"/>
        <v>2618.4579028612748</v>
      </c>
    </row>
    <row r="35" spans="1:12" s="74" customFormat="1" x14ac:dyDescent="0.25">
      <c r="A35" s="65" t="s">
        <v>84</v>
      </c>
      <c r="B35" s="66" t="s">
        <v>155</v>
      </c>
      <c r="C35" s="67" t="s">
        <v>86</v>
      </c>
      <c r="D35" s="68">
        <v>9239</v>
      </c>
      <c r="E35" s="69">
        <f t="shared" si="1"/>
        <v>2.9011097443437463E-2</v>
      </c>
      <c r="F35" s="70">
        <f t="shared" si="2"/>
        <v>2656.5128301335089</v>
      </c>
      <c r="G35" s="71">
        <f t="shared" si="3"/>
        <v>132.82564150667545</v>
      </c>
      <c r="H35" s="71">
        <f t="shared" si="0"/>
        <v>2789.3384716401843</v>
      </c>
    </row>
    <row r="36" spans="1:12" s="74" customFormat="1" x14ac:dyDescent="0.25">
      <c r="A36" s="65" t="s">
        <v>87</v>
      </c>
      <c r="B36" s="66" t="s">
        <v>88</v>
      </c>
      <c r="C36" s="67" t="s">
        <v>89</v>
      </c>
      <c r="D36" s="68">
        <v>4892</v>
      </c>
      <c r="E36" s="69">
        <f t="shared" si="1"/>
        <v>1.5361217522815896E-2</v>
      </c>
      <c r="F36" s="70">
        <f t="shared" si="2"/>
        <v>1406.6090231641006</v>
      </c>
      <c r="G36" s="71">
        <f t="shared" si="3"/>
        <v>70.330451158205037</v>
      </c>
      <c r="H36" s="71">
        <f t="shared" si="0"/>
        <v>1476.9394743223056</v>
      </c>
    </row>
    <row r="37" spans="1:12" s="74" customFormat="1" x14ac:dyDescent="0.25">
      <c r="A37" s="65" t="s">
        <v>90</v>
      </c>
      <c r="B37" s="66" t="s">
        <v>91</v>
      </c>
      <c r="C37" s="67">
        <v>41497649000147</v>
      </c>
      <c r="D37" s="68">
        <v>2526</v>
      </c>
      <c r="E37" s="69">
        <f t="shared" si="1"/>
        <v>7.9318142809961072E-3</v>
      </c>
      <c r="F37" s="70">
        <f t="shared" si="2"/>
        <v>726.30711212439041</v>
      </c>
      <c r="G37" s="71">
        <f t="shared" si="3"/>
        <v>36.315355606219519</v>
      </c>
      <c r="H37" s="71">
        <f t="shared" si="0"/>
        <v>762.62246773060997</v>
      </c>
    </row>
    <row r="38" spans="1:12" s="74" customFormat="1" x14ac:dyDescent="0.25">
      <c r="A38" s="65" t="s">
        <v>92</v>
      </c>
      <c r="B38" s="66" t="s">
        <v>93</v>
      </c>
      <c r="C38" s="67">
        <v>40580071000125</v>
      </c>
      <c r="D38" s="68">
        <v>3600</v>
      </c>
      <c r="E38" s="69">
        <f t="shared" si="1"/>
        <v>1.1304248381467137E-2</v>
      </c>
      <c r="F38" s="70">
        <f t="shared" si="2"/>
        <v>1035.1170244053071</v>
      </c>
      <c r="G38" s="71">
        <f t="shared" si="3"/>
        <v>51.755851220265356</v>
      </c>
      <c r="H38" s="71">
        <f t="shared" si="0"/>
        <v>1086.8728756255725</v>
      </c>
      <c r="I38" s="78" t="s">
        <v>63</v>
      </c>
      <c r="L38" s="74" t="s">
        <v>94</v>
      </c>
    </row>
    <row r="39" spans="1:12" s="74" customFormat="1" x14ac:dyDescent="0.25">
      <c r="A39" s="65" t="s">
        <v>95</v>
      </c>
      <c r="B39" s="66" t="s">
        <v>96</v>
      </c>
      <c r="C39" s="67" t="s">
        <v>97</v>
      </c>
      <c r="D39" s="68">
        <v>3938</v>
      </c>
      <c r="E39" s="69">
        <f t="shared" si="1"/>
        <v>1.2365591701727106E-2</v>
      </c>
      <c r="F39" s="70">
        <f t="shared" si="2"/>
        <v>1132.3030116966941</v>
      </c>
      <c r="G39" s="71">
        <f t="shared" si="3"/>
        <v>56.615150584834709</v>
      </c>
      <c r="H39" s="71">
        <f t="shared" si="0"/>
        <v>1188.9181622815288</v>
      </c>
    </row>
    <row r="40" spans="1:12" s="74" customFormat="1" x14ac:dyDescent="0.25">
      <c r="A40" s="65" t="s">
        <v>98</v>
      </c>
      <c r="B40" s="66" t="s">
        <v>167</v>
      </c>
      <c r="C40" s="67" t="s">
        <v>168</v>
      </c>
      <c r="D40" s="68">
        <v>3707</v>
      </c>
      <c r="E40" s="69">
        <f t="shared" si="1"/>
        <v>1.1640235763916299E-2</v>
      </c>
      <c r="F40" s="70">
        <f t="shared" si="2"/>
        <v>1065.8830026306871</v>
      </c>
      <c r="G40" s="71">
        <f t="shared" si="3"/>
        <v>53.294150131534359</v>
      </c>
      <c r="H40" s="71">
        <f t="shared" si="0"/>
        <v>1119.1771527622213</v>
      </c>
    </row>
    <row r="41" spans="1:12" s="74" customFormat="1" x14ac:dyDescent="0.25">
      <c r="A41" s="65" t="s">
        <v>100</v>
      </c>
      <c r="B41" s="66" t="s">
        <v>101</v>
      </c>
      <c r="C41" s="67">
        <v>42109766000159</v>
      </c>
      <c r="D41" s="68">
        <v>5117</v>
      </c>
      <c r="E41" s="69">
        <f t="shared" si="1"/>
        <v>1.6067733046657592E-2</v>
      </c>
      <c r="F41" s="70">
        <f t="shared" si="2"/>
        <v>1471.3038371894322</v>
      </c>
      <c r="G41" s="71">
        <f t="shared" si="3"/>
        <v>73.565191859471611</v>
      </c>
      <c r="H41" s="71">
        <f t="shared" si="0"/>
        <v>1544.8690290489039</v>
      </c>
    </row>
    <row r="42" spans="1:12" s="74" customFormat="1" x14ac:dyDescent="0.25">
      <c r="A42" s="65" t="s">
        <v>102</v>
      </c>
      <c r="B42" s="66" t="s">
        <v>99</v>
      </c>
      <c r="C42" s="67">
        <v>18788190000119</v>
      </c>
      <c r="D42" s="68">
        <v>14717</v>
      </c>
      <c r="E42" s="69">
        <f t="shared" si="1"/>
        <v>4.6212395397236622E-2</v>
      </c>
      <c r="F42" s="70">
        <f t="shared" si="2"/>
        <v>4231.6159022702514</v>
      </c>
      <c r="G42" s="71">
        <f t="shared" si="3"/>
        <v>211.58079511351258</v>
      </c>
      <c r="H42" s="71">
        <f t="shared" si="0"/>
        <v>4443.1966973837643</v>
      </c>
    </row>
    <row r="43" spans="1:12" s="74" customFormat="1" ht="13.5" customHeight="1" x14ac:dyDescent="0.25">
      <c r="A43" s="65" t="s">
        <v>103</v>
      </c>
      <c r="B43" s="66" t="s">
        <v>104</v>
      </c>
      <c r="C43" s="67">
        <v>32302613000170</v>
      </c>
      <c r="D43" s="68">
        <v>5439</v>
      </c>
      <c r="E43" s="69">
        <f t="shared" si="1"/>
        <v>1.7078835262999931E-2</v>
      </c>
      <c r="F43" s="70">
        <f t="shared" si="2"/>
        <v>1563.8893043723513</v>
      </c>
      <c r="G43" s="71">
        <f t="shared" si="3"/>
        <v>78.194465218617566</v>
      </c>
      <c r="H43" s="71">
        <f t="shared" si="0"/>
        <v>1642.0837695909688</v>
      </c>
    </row>
    <row r="44" spans="1:12" s="74" customFormat="1" x14ac:dyDescent="0.25">
      <c r="A44" s="65" t="s">
        <v>105</v>
      </c>
      <c r="B44" s="66" t="s">
        <v>106</v>
      </c>
      <c r="C44" s="67">
        <v>28616552000148</v>
      </c>
      <c r="D44" s="68">
        <v>4123.71</v>
      </c>
      <c r="E44" s="69">
        <f t="shared" si="1"/>
        <v>1.2948733914761068E-2</v>
      </c>
      <c r="F44" s="70">
        <f t="shared" si="2"/>
        <v>1185.7006735306691</v>
      </c>
      <c r="G44" s="71">
        <f t="shared" si="3"/>
        <v>59.285033676533459</v>
      </c>
      <c r="H44" s="71">
        <f t="shared" si="0"/>
        <v>1244.9857072072025</v>
      </c>
    </row>
    <row r="45" spans="1:12" s="74" customFormat="1" x14ac:dyDescent="0.25">
      <c r="A45" s="65" t="s">
        <v>107</v>
      </c>
      <c r="B45" s="66" t="s">
        <v>108</v>
      </c>
      <c r="C45" s="67">
        <v>42579914000107</v>
      </c>
      <c r="D45" s="68">
        <v>4986.3599999999997</v>
      </c>
      <c r="E45" s="69">
        <f t="shared" si="1"/>
        <v>1.5657514433170129E-2</v>
      </c>
      <c r="F45" s="70">
        <f t="shared" si="2"/>
        <v>1433.7405905037906</v>
      </c>
      <c r="G45" s="71">
        <f t="shared" si="3"/>
        <v>71.68702952518953</v>
      </c>
      <c r="H45" s="71">
        <f t="shared" si="0"/>
        <v>1505.4276200289801</v>
      </c>
    </row>
    <row r="46" spans="1:12" s="74" customFormat="1" x14ac:dyDescent="0.25">
      <c r="A46" s="65" t="s">
        <v>109</v>
      </c>
      <c r="B46" s="66" t="s">
        <v>110</v>
      </c>
      <c r="C46" s="67" t="s">
        <v>111</v>
      </c>
      <c r="D46" s="68">
        <v>7462</v>
      </c>
      <c r="E46" s="69">
        <f t="shared" si="1"/>
        <v>2.343119483958549E-2</v>
      </c>
      <c r="F46" s="70">
        <f t="shared" si="2"/>
        <v>2145.5675655867781</v>
      </c>
      <c r="G46" s="71">
        <f t="shared" si="3"/>
        <v>107.27837827933891</v>
      </c>
      <c r="H46" s="71">
        <f t="shared" si="0"/>
        <v>2252.8459438661171</v>
      </c>
      <c r="J46" s="85"/>
    </row>
    <row r="47" spans="1:12" s="74" customFormat="1" x14ac:dyDescent="0.25">
      <c r="A47" s="65" t="s">
        <v>112</v>
      </c>
      <c r="B47" s="66" t="s">
        <v>113</v>
      </c>
      <c r="C47" s="67" t="s">
        <v>114</v>
      </c>
      <c r="D47" s="68">
        <v>5525</v>
      </c>
      <c r="E47" s="69">
        <f t="shared" si="1"/>
        <v>1.7348881196557201E-2</v>
      </c>
      <c r="F47" s="70">
        <f t="shared" si="2"/>
        <v>1588.6170999553669</v>
      </c>
      <c r="G47" s="71">
        <f t="shared" si="3"/>
        <v>79.43085499776835</v>
      </c>
      <c r="H47" s="71">
        <f t="shared" si="0"/>
        <v>1668.0479549531353</v>
      </c>
    </row>
    <row r="48" spans="1:12" customFormat="1" x14ac:dyDescent="0.25">
      <c r="A48" s="20" t="s">
        <v>186</v>
      </c>
      <c r="B48" s="21" t="s">
        <v>187</v>
      </c>
      <c r="C48" s="22" t="s">
        <v>188</v>
      </c>
      <c r="D48" s="23">
        <v>6188.23</v>
      </c>
      <c r="E48" s="69">
        <f t="shared" si="1"/>
        <v>1.943146915601288E-2</v>
      </c>
      <c r="F48" s="70">
        <f t="shared" si="2"/>
        <v>1779.31728442657</v>
      </c>
      <c r="G48" s="26">
        <f>F48*5%</f>
        <v>88.965864221328502</v>
      </c>
      <c r="H48" s="26">
        <f>F48+G48</f>
        <v>1868.2831486478985</v>
      </c>
    </row>
    <row r="49" spans="1:8" s="74" customFormat="1" x14ac:dyDescent="0.25">
      <c r="A49" s="65" t="s">
        <v>115</v>
      </c>
      <c r="B49" s="66" t="s">
        <v>116</v>
      </c>
      <c r="C49" s="67">
        <v>26480299000112</v>
      </c>
      <c r="D49" s="68"/>
      <c r="E49" s="69">
        <f t="shared" si="1"/>
        <v>0</v>
      </c>
      <c r="F49" s="70">
        <f t="shared" si="2"/>
        <v>0</v>
      </c>
      <c r="G49" s="71">
        <f t="shared" si="3"/>
        <v>0</v>
      </c>
      <c r="H49" s="71">
        <f t="shared" si="0"/>
        <v>0</v>
      </c>
    </row>
    <row r="50" spans="1:8" s="74" customFormat="1" x14ac:dyDescent="0.25">
      <c r="A50" s="65" t="s">
        <v>179</v>
      </c>
      <c r="B50" s="66" t="s">
        <v>180</v>
      </c>
      <c r="C50" s="67" t="s">
        <v>181</v>
      </c>
      <c r="D50" s="68">
        <v>11302</v>
      </c>
      <c r="E50" s="69">
        <f t="shared" si="1"/>
        <v>3.5489059779817103E-2</v>
      </c>
      <c r="F50" s="70">
        <f t="shared" si="2"/>
        <v>3249.6923916191054</v>
      </c>
      <c r="G50" s="71">
        <f t="shared" si="3"/>
        <v>162.48461958095527</v>
      </c>
      <c r="H50" s="71">
        <f t="shared" si="0"/>
        <v>3412.1770112000604</v>
      </c>
    </row>
    <row r="51" spans="1:8" s="74" customFormat="1" x14ac:dyDescent="0.25">
      <c r="A51" s="65" t="s">
        <v>117</v>
      </c>
      <c r="B51" s="66" t="s">
        <v>118</v>
      </c>
      <c r="C51" s="67" t="s">
        <v>119</v>
      </c>
      <c r="D51" s="68">
        <v>4943</v>
      </c>
      <c r="E51" s="69">
        <f t="shared" si="1"/>
        <v>1.5521361041553348E-2</v>
      </c>
      <c r="F51" s="70">
        <f t="shared" si="2"/>
        <v>1421.2731810098423</v>
      </c>
      <c r="G51" s="71">
        <f t="shared" si="3"/>
        <v>71.06365905049212</v>
      </c>
      <c r="H51" s="71">
        <f t="shared" si="0"/>
        <v>1492.3368400603345</v>
      </c>
    </row>
    <row r="52" spans="1:8" s="74" customFormat="1" x14ac:dyDescent="0.25">
      <c r="A52" s="65" t="s">
        <v>120</v>
      </c>
      <c r="B52" s="66" t="s">
        <v>121</v>
      </c>
      <c r="C52" s="67">
        <v>12997366000166</v>
      </c>
      <c r="D52" s="68">
        <v>5160</v>
      </c>
      <c r="E52" s="69">
        <f t="shared" si="1"/>
        <v>1.620275601343623E-2</v>
      </c>
      <c r="F52" s="70">
        <f t="shared" si="2"/>
        <v>1483.6677349809402</v>
      </c>
      <c r="G52" s="71">
        <f t="shared" si="3"/>
        <v>74.183386749047017</v>
      </c>
      <c r="H52" s="71">
        <f t="shared" si="0"/>
        <v>1557.8511217299872</v>
      </c>
    </row>
    <row r="53" spans="1:8" s="74" customFormat="1" ht="16.5" customHeight="1" x14ac:dyDescent="0.25">
      <c r="A53" s="65" t="s">
        <v>122</v>
      </c>
      <c r="B53" s="66" t="s">
        <v>123</v>
      </c>
      <c r="C53" s="67" t="s">
        <v>124</v>
      </c>
      <c r="D53" s="68">
        <v>6586</v>
      </c>
      <c r="E53" s="69">
        <f t="shared" si="1"/>
        <v>2.0680494400095156E-2</v>
      </c>
      <c r="F53" s="70">
        <f t="shared" si="2"/>
        <v>1893.6890896481534</v>
      </c>
      <c r="G53" s="71">
        <f t="shared" si="3"/>
        <v>94.684454482407673</v>
      </c>
      <c r="H53" s="71">
        <f t="shared" si="0"/>
        <v>1988.3735441305612</v>
      </c>
    </row>
    <row r="54" spans="1:8" customFormat="1" x14ac:dyDescent="0.25">
      <c r="A54" s="20" t="s">
        <v>125</v>
      </c>
      <c r="B54" s="21" t="s">
        <v>126</v>
      </c>
      <c r="C54" s="22">
        <v>11884518000151</v>
      </c>
      <c r="D54" s="23">
        <v>5644</v>
      </c>
      <c r="E54" s="69">
        <f t="shared" si="1"/>
        <v>1.7722549406944586E-2</v>
      </c>
      <c r="F54" s="70">
        <f t="shared" si="2"/>
        <v>1622.833468262098</v>
      </c>
      <c r="G54" s="26">
        <f t="shared" si="3"/>
        <v>81.141673413104911</v>
      </c>
      <c r="H54" s="26">
        <f t="shared" si="0"/>
        <v>1703.9751416752028</v>
      </c>
    </row>
    <row r="55" spans="1:8" s="63" customFormat="1" x14ac:dyDescent="0.25">
      <c r="A55" s="56" t="s">
        <v>147</v>
      </c>
      <c r="B55" s="57" t="s">
        <v>148</v>
      </c>
      <c r="C55" s="58">
        <v>41142377000162</v>
      </c>
      <c r="D55" s="59">
        <v>1134.82</v>
      </c>
      <c r="E55" s="60">
        <f t="shared" si="1"/>
        <v>3.5634130967379263E-3</v>
      </c>
      <c r="F55" s="61">
        <f t="shared" si="2"/>
        <v>326.29763934323068</v>
      </c>
      <c r="G55" s="62">
        <f t="shared" si="3"/>
        <v>16.314881967161536</v>
      </c>
      <c r="H55" s="62">
        <f t="shared" si="0"/>
        <v>342.6125213103922</v>
      </c>
    </row>
    <row r="56" spans="1:8" s="74" customFormat="1" x14ac:dyDescent="0.25">
      <c r="A56" s="65" t="s">
        <v>127</v>
      </c>
      <c r="B56" s="66" t="s">
        <v>128</v>
      </c>
      <c r="C56" s="67">
        <v>36188051000136</v>
      </c>
      <c r="D56" s="68">
        <v>6936</v>
      </c>
      <c r="E56" s="69">
        <f t="shared" si="1"/>
        <v>2.1779518548293349E-2</v>
      </c>
      <c r="F56" s="70">
        <f t="shared" si="2"/>
        <v>1994.3254670208917</v>
      </c>
      <c r="G56" s="71">
        <f t="shared" si="3"/>
        <v>99.716273351044592</v>
      </c>
      <c r="H56" s="71">
        <f t="shared" si="0"/>
        <v>2094.0417403719362</v>
      </c>
    </row>
    <row r="57" spans="1:8" s="74" customFormat="1" x14ac:dyDescent="0.25">
      <c r="A57" s="65" t="s">
        <v>129</v>
      </c>
      <c r="B57" s="66" t="s">
        <v>130</v>
      </c>
      <c r="C57" s="67" t="s">
        <v>131</v>
      </c>
      <c r="D57" s="68">
        <f>7425*40%</f>
        <v>2970</v>
      </c>
      <c r="E57" s="69">
        <f t="shared" si="1"/>
        <v>9.3260049147103879E-3</v>
      </c>
      <c r="F57" s="70">
        <f t="shared" si="2"/>
        <v>853.9715451343784</v>
      </c>
      <c r="G57" s="71">
        <f t="shared" si="3"/>
        <v>42.69857725671892</v>
      </c>
      <c r="H57" s="71">
        <f t="shared" si="0"/>
        <v>896.67012239109727</v>
      </c>
    </row>
    <row r="58" spans="1:8" s="74" customFormat="1" x14ac:dyDescent="0.25">
      <c r="A58" s="65" t="s">
        <v>132</v>
      </c>
      <c r="B58" s="66" t="s">
        <v>133</v>
      </c>
      <c r="C58" s="67">
        <v>18741082000190</v>
      </c>
      <c r="D58" s="68">
        <v>12183</v>
      </c>
      <c r="E58" s="69">
        <f t="shared" si="1"/>
        <v>3.8255460564281703E-2</v>
      </c>
      <c r="F58" s="70">
        <f t="shared" si="2"/>
        <v>3503.0085300916267</v>
      </c>
      <c r="G58" s="71">
        <f t="shared" si="3"/>
        <v>175.15042650458133</v>
      </c>
      <c r="H58" s="71">
        <f t="shared" si="0"/>
        <v>3678.1589565962081</v>
      </c>
    </row>
    <row r="59" spans="1:8" s="74" customFormat="1" x14ac:dyDescent="0.25">
      <c r="A59" s="65" t="s">
        <v>134</v>
      </c>
      <c r="B59" s="66" t="s">
        <v>135</v>
      </c>
      <c r="C59" s="67" t="s">
        <v>136</v>
      </c>
      <c r="D59" s="68">
        <v>4814</v>
      </c>
      <c r="E59" s="69">
        <f t="shared" si="1"/>
        <v>1.5116292141217442E-2</v>
      </c>
      <c r="F59" s="70">
        <f t="shared" si="2"/>
        <v>1384.1814876353189</v>
      </c>
      <c r="G59" s="71">
        <f t="shared" si="3"/>
        <v>69.209074381765944</v>
      </c>
      <c r="H59" s="71">
        <f t="shared" si="0"/>
        <v>1453.3905620170849</v>
      </c>
    </row>
    <row r="60" spans="1:8" s="74" customFormat="1" x14ac:dyDescent="0.25">
      <c r="A60" s="65" t="s">
        <v>137</v>
      </c>
      <c r="B60" s="66" t="s">
        <v>138</v>
      </c>
      <c r="C60" s="67" t="s">
        <v>139</v>
      </c>
      <c r="D60" s="68">
        <v>3476.86</v>
      </c>
      <c r="E60" s="69">
        <f t="shared" si="1"/>
        <v>1.0917580285441063E-2</v>
      </c>
      <c r="F60" s="70">
        <f t="shared" si="2"/>
        <v>999.71027152050988</v>
      </c>
      <c r="G60" s="71">
        <f t="shared" si="3"/>
        <v>49.985513576025497</v>
      </c>
      <c r="H60" s="71">
        <f t="shared" si="0"/>
        <v>1049.6957850965355</v>
      </c>
    </row>
    <row r="61" spans="1:8" s="74" customFormat="1" x14ac:dyDescent="0.25">
      <c r="A61" s="65" t="s">
        <v>140</v>
      </c>
      <c r="B61" s="73" t="s">
        <v>141</v>
      </c>
      <c r="C61" s="67">
        <v>11884518000151</v>
      </c>
      <c r="D61" s="68">
        <f>81377.44-14717-3314-9239+4126.33-9403+9177.57</f>
        <v>58008.340000000004</v>
      </c>
      <c r="E61" s="69">
        <f t="shared" si="1"/>
        <v>0.18215018987683204</v>
      </c>
      <c r="F61" s="70">
        <f t="shared" si="2"/>
        <v>16679.283414303154</v>
      </c>
      <c r="G61" s="71">
        <f t="shared" si="3"/>
        <v>833.96417071515771</v>
      </c>
      <c r="H61" s="71">
        <f t="shared" si="0"/>
        <v>17513.247585018311</v>
      </c>
    </row>
    <row r="62" spans="1:8" customFormat="1" x14ac:dyDescent="0.25">
      <c r="A62" s="34"/>
      <c r="B62" s="35"/>
      <c r="C62" s="36" t="s">
        <v>142</v>
      </c>
      <c r="D62" s="37">
        <f>SUM(D17:D61)</f>
        <v>318464.34000000003</v>
      </c>
      <c r="E62" s="38">
        <f>SUM(E17:E61)</f>
        <v>0.99999999999999978</v>
      </c>
      <c r="F62" s="39">
        <f>SUM(F17:F61)</f>
        <v>91568.849999999977</v>
      </c>
      <c r="G62" s="39">
        <f>SUM(G17:G61)</f>
        <v>4578.4425000000001</v>
      </c>
      <c r="H62" s="40">
        <f>SUM(H17:H61)</f>
        <v>96147.292499999996</v>
      </c>
    </row>
    <row r="63" spans="1:8" customFormat="1" x14ac:dyDescent="0.25">
      <c r="D63" s="44"/>
      <c r="F63" s="41"/>
    </row>
    <row r="64" spans="1:8" customFormat="1" x14ac:dyDescent="0.25">
      <c r="F64" s="41"/>
    </row>
    <row r="65" spans="4:8" customFormat="1" x14ac:dyDescent="0.25">
      <c r="D65" s="44"/>
      <c r="E65" s="41"/>
      <c r="H65" s="42"/>
    </row>
    <row r="66" spans="4:8" customFormat="1" x14ac:dyDescent="0.25">
      <c r="E66" s="41"/>
    </row>
    <row r="67" spans="4:8" customFormat="1" x14ac:dyDescent="0.25"/>
    <row r="68" spans="4:8" customFormat="1" x14ac:dyDescent="0.25"/>
    <row r="69" spans="4:8" customFormat="1" x14ac:dyDescent="0.25"/>
    <row r="70" spans="4:8" customFormat="1" x14ac:dyDescent="0.25"/>
    <row r="71" spans="4:8" customFormat="1" x14ac:dyDescent="0.25"/>
    <row r="72" spans="4:8" customFormat="1" x14ac:dyDescent="0.25"/>
    <row r="73" spans="4:8" customFormat="1" x14ac:dyDescent="0.25"/>
    <row r="74" spans="4:8" customFormat="1" x14ac:dyDescent="0.25"/>
    <row r="75" spans="4:8" customFormat="1" x14ac:dyDescent="0.25"/>
    <row r="76" spans="4:8" customFormat="1" x14ac:dyDescent="0.25"/>
    <row r="77" spans="4:8" customFormat="1" x14ac:dyDescent="0.25"/>
    <row r="78" spans="4:8" customFormat="1" x14ac:dyDescent="0.25"/>
    <row r="79" spans="4:8" customFormat="1" x14ac:dyDescent="0.25"/>
    <row r="80" spans="4:8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spans="1:8" customFormat="1" x14ac:dyDescent="0.25"/>
    <row r="146" spans="1:8" customFormat="1" x14ac:dyDescent="0.25">
      <c r="A146" s="45"/>
      <c r="B146" s="45"/>
      <c r="C146" s="45"/>
      <c r="D146" s="45"/>
      <c r="E146" s="45"/>
    </row>
    <row r="147" spans="1:8" x14ac:dyDescent="0.25">
      <c r="F147"/>
      <c r="G147"/>
      <c r="H147"/>
    </row>
    <row r="148" spans="1:8" x14ac:dyDescent="0.25">
      <c r="F148"/>
      <c r="G148"/>
      <c r="H148"/>
    </row>
    <row r="149" spans="1:8" x14ac:dyDescent="0.25">
      <c r="F149"/>
      <c r="G149"/>
      <c r="H149"/>
    </row>
    <row r="150" spans="1:8" x14ac:dyDescent="0.25">
      <c r="F150"/>
      <c r="G150"/>
      <c r="H150"/>
    </row>
    <row r="151" spans="1:8" x14ac:dyDescent="0.25">
      <c r="F151"/>
      <c r="G151"/>
      <c r="H151"/>
    </row>
    <row r="152" spans="1:8" x14ac:dyDescent="0.25">
      <c r="F152"/>
      <c r="G152"/>
      <c r="H152"/>
    </row>
    <row r="153" spans="1:8" x14ac:dyDescent="0.25">
      <c r="F153"/>
      <c r="G153"/>
      <c r="H153"/>
    </row>
    <row r="154" spans="1:8" x14ac:dyDescent="0.25">
      <c r="F154"/>
      <c r="G154"/>
      <c r="H154"/>
    </row>
    <row r="155" spans="1:8" x14ac:dyDescent="0.25">
      <c r="F155"/>
      <c r="G155"/>
      <c r="H155"/>
    </row>
    <row r="156" spans="1:8" x14ac:dyDescent="0.25">
      <c r="F156"/>
      <c r="G156"/>
      <c r="H156"/>
    </row>
    <row r="157" spans="1:8" x14ac:dyDescent="0.25">
      <c r="F157"/>
      <c r="G157"/>
      <c r="H157"/>
    </row>
    <row r="158" spans="1:8" x14ac:dyDescent="0.25">
      <c r="F158"/>
      <c r="G158"/>
      <c r="H158"/>
    </row>
    <row r="159" spans="1:8" x14ac:dyDescent="0.25">
      <c r="F159"/>
      <c r="G159"/>
      <c r="H159"/>
    </row>
    <row r="160" spans="1:8" x14ac:dyDescent="0.25">
      <c r="F160"/>
      <c r="G160"/>
      <c r="H160"/>
    </row>
    <row r="161" spans="6:8" x14ac:dyDescent="0.25">
      <c r="F161"/>
      <c r="G161"/>
      <c r="H161"/>
    </row>
    <row r="162" spans="6:8" x14ac:dyDescent="0.25">
      <c r="F162"/>
      <c r="G162"/>
      <c r="H162"/>
    </row>
    <row r="163" spans="6:8" x14ac:dyDescent="0.25">
      <c r="F163"/>
      <c r="G163"/>
      <c r="H163"/>
    </row>
    <row r="164" spans="6:8" x14ac:dyDescent="0.25">
      <c r="F164"/>
      <c r="G164"/>
      <c r="H164"/>
    </row>
    <row r="165" spans="6:8" x14ac:dyDescent="0.25">
      <c r="F165"/>
      <c r="G165"/>
      <c r="H165"/>
    </row>
    <row r="166" spans="6:8" x14ac:dyDescent="0.25">
      <c r="F166"/>
      <c r="G166"/>
      <c r="H166"/>
    </row>
    <row r="167" spans="6:8" x14ac:dyDescent="0.25">
      <c r="F167"/>
      <c r="G167"/>
      <c r="H167"/>
    </row>
    <row r="168" spans="6:8" x14ac:dyDescent="0.25">
      <c r="F168"/>
      <c r="G168"/>
      <c r="H168"/>
    </row>
    <row r="169" spans="6:8" x14ac:dyDescent="0.25">
      <c r="F169"/>
      <c r="G169"/>
      <c r="H169"/>
    </row>
    <row r="170" spans="6:8" x14ac:dyDescent="0.25">
      <c r="F170"/>
      <c r="G170"/>
      <c r="H170"/>
    </row>
    <row r="171" spans="6:8" x14ac:dyDescent="0.25">
      <c r="F171"/>
      <c r="G171"/>
      <c r="H171"/>
    </row>
    <row r="172" spans="6:8" x14ac:dyDescent="0.25">
      <c r="F172"/>
      <c r="G172"/>
      <c r="H172"/>
    </row>
    <row r="173" spans="6:8" x14ac:dyDescent="0.25">
      <c r="F173"/>
      <c r="G173"/>
      <c r="H173"/>
    </row>
    <row r="174" spans="6:8" x14ac:dyDescent="0.25">
      <c r="F174"/>
      <c r="G174"/>
      <c r="H174"/>
    </row>
    <row r="175" spans="6:8" x14ac:dyDescent="0.25">
      <c r="F175"/>
      <c r="G175"/>
      <c r="H175"/>
    </row>
    <row r="176" spans="6:8" x14ac:dyDescent="0.25">
      <c r="F176"/>
      <c r="G176"/>
      <c r="H176"/>
    </row>
    <row r="177" spans="6:8" x14ac:dyDescent="0.25">
      <c r="F177"/>
      <c r="G177"/>
      <c r="H177"/>
    </row>
    <row r="178" spans="6:8" x14ac:dyDescent="0.25">
      <c r="F178"/>
      <c r="G178"/>
      <c r="H178"/>
    </row>
    <row r="179" spans="6:8" x14ac:dyDescent="0.25">
      <c r="F179"/>
      <c r="G179"/>
      <c r="H179"/>
    </row>
    <row r="180" spans="6:8" x14ac:dyDescent="0.25">
      <c r="F180"/>
      <c r="G180"/>
      <c r="H180"/>
    </row>
    <row r="181" spans="6:8" x14ac:dyDescent="0.25">
      <c r="F181"/>
      <c r="G181"/>
      <c r="H181"/>
    </row>
    <row r="182" spans="6:8" x14ac:dyDescent="0.25">
      <c r="F182"/>
      <c r="G182"/>
      <c r="H182"/>
    </row>
    <row r="183" spans="6:8" x14ac:dyDescent="0.25">
      <c r="F183"/>
      <c r="G183"/>
      <c r="H183"/>
    </row>
    <row r="184" spans="6:8" x14ac:dyDescent="0.25">
      <c r="F184"/>
      <c r="G184"/>
      <c r="H184"/>
    </row>
    <row r="185" spans="6:8" x14ac:dyDescent="0.25">
      <c r="F185"/>
      <c r="G185"/>
      <c r="H185"/>
    </row>
    <row r="186" spans="6:8" x14ac:dyDescent="0.25">
      <c r="F186"/>
      <c r="G186"/>
      <c r="H186"/>
    </row>
    <row r="187" spans="6:8" x14ac:dyDescent="0.25">
      <c r="F187"/>
      <c r="G187"/>
      <c r="H187"/>
    </row>
    <row r="188" spans="6:8" x14ac:dyDescent="0.25">
      <c r="F188"/>
      <c r="G188"/>
      <c r="H188"/>
    </row>
    <row r="189" spans="6:8" x14ac:dyDescent="0.25">
      <c r="F189"/>
      <c r="G189"/>
      <c r="H189"/>
    </row>
    <row r="190" spans="6:8" x14ac:dyDescent="0.25">
      <c r="F190"/>
      <c r="G190"/>
      <c r="H190"/>
    </row>
    <row r="191" spans="6:8" x14ac:dyDescent="0.25">
      <c r="F191"/>
      <c r="G191"/>
      <c r="H191"/>
    </row>
    <row r="192" spans="6:8" x14ac:dyDescent="0.25">
      <c r="F192"/>
      <c r="G192"/>
      <c r="H192"/>
    </row>
    <row r="193" spans="6:8" x14ac:dyDescent="0.25">
      <c r="F193"/>
      <c r="G193"/>
      <c r="H193"/>
    </row>
    <row r="194" spans="6:8" x14ac:dyDescent="0.25">
      <c r="F194"/>
      <c r="G194"/>
      <c r="H194"/>
    </row>
    <row r="195" spans="6:8" x14ac:dyDescent="0.25">
      <c r="F195"/>
      <c r="G195"/>
      <c r="H195"/>
    </row>
    <row r="196" spans="6:8" x14ac:dyDescent="0.25">
      <c r="F196"/>
      <c r="G196"/>
      <c r="H196"/>
    </row>
    <row r="197" spans="6:8" x14ac:dyDescent="0.25">
      <c r="F197"/>
      <c r="G197"/>
      <c r="H197"/>
    </row>
    <row r="198" spans="6:8" x14ac:dyDescent="0.25">
      <c r="F198"/>
      <c r="G198"/>
      <c r="H198"/>
    </row>
    <row r="199" spans="6:8" x14ac:dyDescent="0.25">
      <c r="F199"/>
      <c r="G199"/>
      <c r="H199"/>
    </row>
    <row r="200" spans="6:8" x14ac:dyDescent="0.25">
      <c r="F200"/>
      <c r="G200"/>
      <c r="H200"/>
    </row>
    <row r="201" spans="6:8" x14ac:dyDescent="0.25">
      <c r="F201"/>
      <c r="G201"/>
      <c r="H201"/>
    </row>
    <row r="202" spans="6:8" x14ac:dyDescent="0.25">
      <c r="F202"/>
      <c r="G202"/>
      <c r="H202"/>
    </row>
    <row r="203" spans="6:8" x14ac:dyDescent="0.25">
      <c r="F203"/>
      <c r="G203"/>
      <c r="H203"/>
    </row>
    <row r="204" spans="6:8" x14ac:dyDescent="0.25">
      <c r="F204"/>
      <c r="G204"/>
      <c r="H204"/>
    </row>
    <row r="205" spans="6:8" x14ac:dyDescent="0.25">
      <c r="F205"/>
      <c r="G205"/>
      <c r="H205"/>
    </row>
    <row r="206" spans="6:8" x14ac:dyDescent="0.25">
      <c r="F206"/>
      <c r="G206"/>
      <c r="H206"/>
    </row>
    <row r="207" spans="6:8" x14ac:dyDescent="0.25">
      <c r="F207"/>
      <c r="G207"/>
      <c r="H207"/>
    </row>
    <row r="208" spans="6:8" x14ac:dyDescent="0.25">
      <c r="F208"/>
      <c r="G208"/>
      <c r="H208"/>
    </row>
    <row r="209" spans="6:8" x14ac:dyDescent="0.25">
      <c r="F209"/>
      <c r="G209"/>
      <c r="H209"/>
    </row>
    <row r="210" spans="6:8" x14ac:dyDescent="0.25">
      <c r="F210"/>
      <c r="G210"/>
      <c r="H210"/>
    </row>
    <row r="211" spans="6:8" x14ac:dyDescent="0.25">
      <c r="F211"/>
      <c r="G211"/>
      <c r="H211"/>
    </row>
    <row r="212" spans="6:8" x14ac:dyDescent="0.25">
      <c r="F212"/>
      <c r="G212"/>
      <c r="H212"/>
    </row>
    <row r="213" spans="6:8" x14ac:dyDescent="0.25">
      <c r="F213"/>
      <c r="G213"/>
      <c r="H213"/>
    </row>
    <row r="214" spans="6:8" x14ac:dyDescent="0.25">
      <c r="F214"/>
      <c r="G214"/>
      <c r="H214"/>
    </row>
    <row r="215" spans="6:8" x14ac:dyDescent="0.25">
      <c r="F215"/>
      <c r="G215"/>
      <c r="H215"/>
    </row>
    <row r="216" spans="6:8" x14ac:dyDescent="0.25">
      <c r="F216"/>
      <c r="G216"/>
      <c r="H216"/>
    </row>
    <row r="217" spans="6:8" x14ac:dyDescent="0.25">
      <c r="F217"/>
      <c r="G217"/>
      <c r="H217"/>
    </row>
    <row r="218" spans="6:8" x14ac:dyDescent="0.25">
      <c r="F218"/>
      <c r="G218"/>
      <c r="H218"/>
    </row>
    <row r="219" spans="6:8" x14ac:dyDescent="0.25">
      <c r="F219"/>
      <c r="G219"/>
      <c r="H219"/>
    </row>
    <row r="220" spans="6:8" x14ac:dyDescent="0.25">
      <c r="F220"/>
      <c r="G220"/>
      <c r="H220"/>
    </row>
    <row r="221" spans="6:8" x14ac:dyDescent="0.25">
      <c r="F221"/>
      <c r="G221"/>
      <c r="H221"/>
    </row>
    <row r="222" spans="6:8" x14ac:dyDescent="0.25">
      <c r="F222"/>
      <c r="G222"/>
      <c r="H222"/>
    </row>
    <row r="223" spans="6:8" x14ac:dyDescent="0.25">
      <c r="F223"/>
      <c r="G223"/>
      <c r="H223"/>
    </row>
    <row r="224" spans="6:8" x14ac:dyDescent="0.25">
      <c r="F224"/>
      <c r="G224"/>
      <c r="H224"/>
    </row>
    <row r="225" spans="6:8" x14ac:dyDescent="0.25">
      <c r="F225"/>
      <c r="G225"/>
      <c r="H225"/>
    </row>
    <row r="226" spans="6:8" x14ac:dyDescent="0.25">
      <c r="F226"/>
      <c r="G226"/>
      <c r="H226"/>
    </row>
    <row r="227" spans="6:8" x14ac:dyDescent="0.25">
      <c r="F227"/>
      <c r="G227"/>
      <c r="H227"/>
    </row>
    <row r="228" spans="6:8" x14ac:dyDescent="0.25">
      <c r="G228"/>
      <c r="H228"/>
    </row>
  </sheetData>
  <mergeCells count="1">
    <mergeCell ref="B1:G1"/>
  </mergeCells>
  <pageMargins left="0.511811024" right="0.511811024" top="0.78740157499999996" bottom="0.78740157499999996" header="0.31496062000000002" footer="0.3149606200000000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4E0E-11E5-4C77-A6A0-91A3B3E58C5A}">
  <dimension ref="A1:L233"/>
  <sheetViews>
    <sheetView topLeftCell="A35" zoomScaleNormal="100" workbookViewId="0">
      <selection activeCell="D66" sqref="D66"/>
    </sheetView>
  </sheetViews>
  <sheetFormatPr defaultColWidth="9.140625" defaultRowHeight="15" x14ac:dyDescent="0.25"/>
  <cols>
    <col min="1" max="1" width="29.5703125" style="100" customWidth="1"/>
    <col min="2" max="2" width="45.28515625" style="100" customWidth="1"/>
    <col min="3" max="3" width="29.7109375" style="100" customWidth="1"/>
    <col min="4" max="4" width="21.42578125" style="100" customWidth="1"/>
    <col min="5" max="5" width="17.42578125" style="100" customWidth="1"/>
    <col min="6" max="6" width="16.42578125" style="100" customWidth="1"/>
    <col min="7" max="7" width="17.140625" style="100" customWidth="1"/>
    <col min="8" max="8" width="16.85546875" style="100" bestFit="1" customWidth="1"/>
    <col min="9" max="16384" width="9.140625" style="100"/>
  </cols>
  <sheetData>
    <row r="1" spans="1:8" customFormat="1" ht="21.75" customHeight="1" x14ac:dyDescent="0.25">
      <c r="A1" s="87"/>
      <c r="B1" s="118" t="s">
        <v>0</v>
      </c>
      <c r="C1" s="119"/>
      <c r="D1" s="119"/>
      <c r="E1" s="119"/>
      <c r="F1" s="119"/>
      <c r="G1" s="120"/>
      <c r="H1" s="88"/>
    </row>
    <row r="2" spans="1:8" customFormat="1" ht="30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3"/>
      <c r="F2" s="4" t="s">
        <v>5</v>
      </c>
      <c r="G2" s="89"/>
      <c r="H2" s="6"/>
    </row>
    <row r="3" spans="1:8" customFormat="1" ht="30.6" customHeight="1" x14ac:dyDescent="0.25">
      <c r="A3" s="7">
        <v>1</v>
      </c>
      <c r="B3" s="8" t="s">
        <v>6</v>
      </c>
      <c r="C3" s="8"/>
      <c r="D3" s="9">
        <v>45901</v>
      </c>
      <c r="E3" s="9"/>
      <c r="F3" s="10">
        <f>548.46+550+5000</f>
        <v>6098.46</v>
      </c>
      <c r="G3" s="89"/>
      <c r="H3" s="6"/>
    </row>
    <row r="4" spans="1:8" customFormat="1" ht="30.6" customHeight="1" x14ac:dyDescent="0.25">
      <c r="A4" s="7">
        <v>2</v>
      </c>
      <c r="B4" s="8" t="s">
        <v>8</v>
      </c>
      <c r="C4" s="8" t="s">
        <v>9</v>
      </c>
      <c r="D4" s="9">
        <v>45901</v>
      </c>
      <c r="E4" s="9"/>
      <c r="F4" s="10">
        <v>39590</v>
      </c>
      <c r="G4" s="89"/>
      <c r="H4" s="11"/>
    </row>
    <row r="5" spans="1:8" customFormat="1" ht="30.6" customHeight="1" x14ac:dyDescent="0.25">
      <c r="A5" s="7">
        <v>3</v>
      </c>
      <c r="B5" s="8" t="s">
        <v>10</v>
      </c>
      <c r="C5" s="12" t="s">
        <v>11</v>
      </c>
      <c r="D5" s="9">
        <v>45901</v>
      </c>
      <c r="E5" s="9"/>
      <c r="F5" s="10">
        <v>39510.6</v>
      </c>
      <c r="G5" s="89"/>
      <c r="H5" s="11"/>
    </row>
    <row r="6" spans="1:8" customFormat="1" ht="30.6" customHeight="1" x14ac:dyDescent="0.25">
      <c r="A6" s="7">
        <v>4</v>
      </c>
      <c r="B6" s="8" t="s">
        <v>189</v>
      </c>
      <c r="C6" s="12" t="s">
        <v>190</v>
      </c>
      <c r="D6" s="9">
        <v>45901</v>
      </c>
      <c r="E6" s="9"/>
      <c r="F6" s="10">
        <v>24000</v>
      </c>
      <c r="G6" s="89"/>
      <c r="H6" s="11"/>
    </row>
    <row r="7" spans="1:8" customFormat="1" ht="30.6" customHeight="1" x14ac:dyDescent="0.25">
      <c r="A7" s="7">
        <v>5</v>
      </c>
      <c r="B7" s="8" t="s">
        <v>191</v>
      </c>
      <c r="C7" s="8"/>
      <c r="D7" s="9">
        <v>45901</v>
      </c>
      <c r="E7" s="9"/>
      <c r="F7" s="10">
        <v>300</v>
      </c>
      <c r="G7" s="89"/>
      <c r="H7" s="6"/>
    </row>
    <row r="8" spans="1:8" customFormat="1" ht="30.6" customHeight="1" x14ac:dyDescent="0.25">
      <c r="A8" s="7">
        <v>6</v>
      </c>
      <c r="B8" s="8" t="s">
        <v>12</v>
      </c>
      <c r="C8" s="8"/>
      <c r="D8" s="9">
        <v>45901</v>
      </c>
      <c r="E8" s="9"/>
      <c r="F8" s="10">
        <v>459.91</v>
      </c>
      <c r="G8" s="89"/>
      <c r="H8" s="6"/>
    </row>
    <row r="9" spans="1:8" customFormat="1" ht="30.6" customHeight="1" x14ac:dyDescent="0.25">
      <c r="A9" s="7">
        <v>7</v>
      </c>
      <c r="B9" s="8" t="s">
        <v>13</v>
      </c>
      <c r="C9" s="8" t="s">
        <v>14</v>
      </c>
      <c r="D9" s="9">
        <v>45901</v>
      </c>
      <c r="E9" s="9"/>
      <c r="F9" s="13">
        <v>1518</v>
      </c>
      <c r="G9" s="89"/>
      <c r="H9" s="6"/>
    </row>
    <row r="10" spans="1:8" customFormat="1" ht="30.6" customHeight="1" x14ac:dyDescent="0.25">
      <c r="A10" s="7">
        <v>8</v>
      </c>
      <c r="B10" s="8" t="s">
        <v>15</v>
      </c>
      <c r="C10" s="8" t="s">
        <v>16</v>
      </c>
      <c r="D10" s="9">
        <v>45901</v>
      </c>
      <c r="E10" s="9"/>
      <c r="F10" s="13">
        <v>2500</v>
      </c>
      <c r="G10" s="89"/>
      <c r="H10" s="6"/>
    </row>
    <row r="11" spans="1:8" customFormat="1" ht="34.5" customHeight="1" x14ac:dyDescent="0.25">
      <c r="A11" s="7">
        <v>9</v>
      </c>
      <c r="B11" s="14" t="s">
        <v>17</v>
      </c>
      <c r="C11" s="12" t="s">
        <v>18</v>
      </c>
      <c r="D11" s="9">
        <v>45901</v>
      </c>
      <c r="E11" s="9"/>
      <c r="F11" s="13">
        <v>1274</v>
      </c>
      <c r="G11" s="89"/>
      <c r="H11" s="6"/>
    </row>
    <row r="12" spans="1:8" customFormat="1" ht="30.6" customHeight="1" x14ac:dyDescent="0.25">
      <c r="A12" s="7">
        <v>10</v>
      </c>
      <c r="B12" s="14" t="s">
        <v>19</v>
      </c>
      <c r="C12" s="14" t="s">
        <v>20</v>
      </c>
      <c r="D12" s="9">
        <v>45901</v>
      </c>
      <c r="E12" s="9"/>
      <c r="F12" s="13">
        <v>227.75</v>
      </c>
      <c r="G12" s="89"/>
      <c r="H12" s="6"/>
    </row>
    <row r="13" spans="1:8" customFormat="1" ht="30.6" customHeight="1" x14ac:dyDescent="0.25">
      <c r="A13" s="7">
        <v>11</v>
      </c>
      <c r="B13" s="14" t="s">
        <v>149</v>
      </c>
      <c r="C13" s="14" t="s">
        <v>150</v>
      </c>
      <c r="D13" s="9">
        <v>45901</v>
      </c>
      <c r="E13" s="9"/>
      <c r="F13" s="13">
        <v>149.9</v>
      </c>
      <c r="G13" s="89"/>
      <c r="H13" s="6"/>
    </row>
    <row r="14" spans="1:8" customFormat="1" ht="30.6" customHeight="1" x14ac:dyDescent="0.25">
      <c r="A14" s="7">
        <v>12</v>
      </c>
      <c r="B14" s="14" t="s">
        <v>21</v>
      </c>
      <c r="C14" s="12" t="s">
        <v>22</v>
      </c>
      <c r="D14" s="9">
        <v>45901</v>
      </c>
      <c r="E14" s="9"/>
      <c r="F14" s="13">
        <v>308</v>
      </c>
      <c r="G14" s="89"/>
      <c r="H14" s="15"/>
    </row>
    <row r="15" spans="1:8" customFormat="1" ht="30.6" customHeight="1" x14ac:dyDescent="0.25">
      <c r="A15" s="7">
        <v>13</v>
      </c>
      <c r="B15" s="14" t="s">
        <v>23</v>
      </c>
      <c r="C15" s="8"/>
      <c r="D15" s="9">
        <v>45901</v>
      </c>
      <c r="E15" s="9"/>
      <c r="F15" s="13">
        <v>80</v>
      </c>
      <c r="G15" s="89"/>
      <c r="H15" s="6"/>
    </row>
    <row r="16" spans="1:8" customFormat="1" ht="31.5" customHeight="1" x14ac:dyDescent="0.25">
      <c r="A16" s="7">
        <v>14</v>
      </c>
      <c r="B16" s="14" t="s">
        <v>24</v>
      </c>
      <c r="C16" s="12" t="s">
        <v>25</v>
      </c>
      <c r="D16" s="9">
        <v>45901</v>
      </c>
      <c r="E16" s="9"/>
      <c r="F16" s="13">
        <v>474.1</v>
      </c>
      <c r="G16" s="89"/>
      <c r="H16" s="6"/>
    </row>
    <row r="17" spans="1:12" customFormat="1" ht="31.5" customHeight="1" x14ac:dyDescent="0.25">
      <c r="A17" s="7">
        <v>15</v>
      </c>
      <c r="B17" s="14" t="s">
        <v>192</v>
      </c>
      <c r="C17" s="12" t="s">
        <v>193</v>
      </c>
      <c r="D17" s="9">
        <v>45901</v>
      </c>
      <c r="E17" s="9"/>
      <c r="F17" s="13">
        <v>7.23</v>
      </c>
      <c r="G17" s="89"/>
      <c r="H17" s="6"/>
    </row>
    <row r="18" spans="1:12" customFormat="1" ht="31.5" customHeight="1" x14ac:dyDescent="0.25">
      <c r="A18" s="7">
        <v>16</v>
      </c>
      <c r="B18" s="14" t="s">
        <v>26</v>
      </c>
      <c r="C18" s="12" t="s">
        <v>194</v>
      </c>
      <c r="D18" s="9">
        <v>45901</v>
      </c>
      <c r="E18" s="9"/>
      <c r="F18" s="13">
        <v>73.900000000000006</v>
      </c>
      <c r="G18" s="89"/>
      <c r="H18" s="6"/>
    </row>
    <row r="19" spans="1:12" customFormat="1" ht="31.5" customHeight="1" x14ac:dyDescent="0.25">
      <c r="A19" s="7">
        <v>17</v>
      </c>
      <c r="B19" s="14" t="s">
        <v>26</v>
      </c>
      <c r="C19" s="12" t="s">
        <v>195</v>
      </c>
      <c r="D19" s="9">
        <v>45901</v>
      </c>
      <c r="E19" s="9"/>
      <c r="F19" s="13">
        <v>190.9</v>
      </c>
      <c r="G19" s="89"/>
      <c r="H19" s="6"/>
    </row>
    <row r="20" spans="1:12" customFormat="1" ht="31.5" customHeight="1" x14ac:dyDescent="0.25">
      <c r="A20" s="7">
        <v>18</v>
      </c>
      <c r="B20" s="14" t="s">
        <v>196</v>
      </c>
      <c r="C20" s="12" t="s">
        <v>197</v>
      </c>
      <c r="D20" s="9">
        <v>45901</v>
      </c>
      <c r="E20" s="9"/>
      <c r="F20" s="13">
        <v>4726.17</v>
      </c>
      <c r="G20" s="89"/>
      <c r="H20" s="6"/>
    </row>
    <row r="21" spans="1:12" customFormat="1" ht="42" customHeight="1" x14ac:dyDescent="0.25">
      <c r="A21" s="90"/>
      <c r="B21" s="91" t="s">
        <v>31</v>
      </c>
      <c r="C21" s="92"/>
      <c r="D21" s="2"/>
      <c r="E21" s="93"/>
      <c r="F21" s="94">
        <f>SUM(F3:F20)</f>
        <v>121488.91999999998</v>
      </c>
      <c r="G21" s="95"/>
      <c r="H21" s="6"/>
    </row>
    <row r="22" spans="1:12" customFormat="1" ht="21.75" customHeight="1" x14ac:dyDescent="0.25">
      <c r="A22" s="17" t="s">
        <v>32</v>
      </c>
      <c r="B22" s="17" t="s">
        <v>33</v>
      </c>
      <c r="C22" s="96" t="s">
        <v>34</v>
      </c>
      <c r="D22" s="17" t="s">
        <v>35</v>
      </c>
      <c r="E22" s="17" t="s">
        <v>36</v>
      </c>
      <c r="F22" s="17" t="s">
        <v>37</v>
      </c>
      <c r="G22" s="97" t="s">
        <v>38</v>
      </c>
      <c r="H22" s="96" t="s">
        <v>39</v>
      </c>
    </row>
    <row r="23" spans="1:12" s="27" customFormat="1" ht="15" customHeight="1" x14ac:dyDescent="0.25">
      <c r="A23" s="20" t="s">
        <v>40</v>
      </c>
      <c r="B23" s="21" t="s">
        <v>41</v>
      </c>
      <c r="C23" s="22" t="s">
        <v>42</v>
      </c>
      <c r="D23" s="23">
        <v>4016</v>
      </c>
      <c r="E23" s="24">
        <f t="shared" ref="E23:E53" si="0">D23/$D$67</f>
        <v>1.2655614264944527E-2</v>
      </c>
      <c r="F23" s="25">
        <f>$F$21*E23</f>
        <v>1537.5169089847043</v>
      </c>
      <c r="G23" s="26">
        <f>F23*5%</f>
        <v>76.875845449235214</v>
      </c>
      <c r="H23" s="26">
        <f t="shared" ref="H23:H66" si="1">F23+G23</f>
        <v>1614.3927544339394</v>
      </c>
    </row>
    <row r="24" spans="1:12" customFormat="1" x14ac:dyDescent="0.25">
      <c r="A24" s="20" t="s">
        <v>43</v>
      </c>
      <c r="B24" s="28" t="s">
        <v>44</v>
      </c>
      <c r="C24" s="22">
        <v>18778225000139</v>
      </c>
      <c r="D24" s="23">
        <v>8711.2199999999993</v>
      </c>
      <c r="E24" s="24">
        <f t="shared" si="0"/>
        <v>2.7451653410625016E-2</v>
      </c>
      <c r="F24" s="25">
        <f t="shared" ref="F24:F66" si="2">$F$21*E24</f>
        <v>3335.0717250711491</v>
      </c>
      <c r="G24" s="26">
        <f t="shared" ref="G24:G66" si="3">F24*5%</f>
        <v>166.75358625355747</v>
      </c>
      <c r="H24" s="26">
        <f t="shared" si="1"/>
        <v>3501.8253113247065</v>
      </c>
    </row>
    <row r="25" spans="1:12" customFormat="1" x14ac:dyDescent="0.25">
      <c r="A25" s="20" t="s">
        <v>45</v>
      </c>
      <c r="B25" s="28" t="s">
        <v>46</v>
      </c>
      <c r="C25" s="22">
        <v>41993875000119</v>
      </c>
      <c r="D25" s="23">
        <v>3641.8</v>
      </c>
      <c r="E25" s="24">
        <f t="shared" si="0"/>
        <v>1.1476398413863293E-2</v>
      </c>
      <c r="F25" s="25">
        <f t="shared" si="2"/>
        <v>1394.2552487899643</v>
      </c>
      <c r="G25" s="26">
        <f t="shared" si="3"/>
        <v>69.712762439498221</v>
      </c>
      <c r="H25" s="26">
        <f t="shared" si="1"/>
        <v>1463.9680112294625</v>
      </c>
    </row>
    <row r="26" spans="1:12" customFormat="1" x14ac:dyDescent="0.25">
      <c r="A26" s="20" t="s">
        <v>47</v>
      </c>
      <c r="B26" s="21" t="s">
        <v>48</v>
      </c>
      <c r="C26" s="22">
        <v>24781302000102</v>
      </c>
      <c r="D26" s="23">
        <v>3430</v>
      </c>
      <c r="E26" s="24">
        <f t="shared" si="0"/>
        <v>1.0808953418515869E-2</v>
      </c>
      <c r="F26" s="25">
        <f t="shared" si="2"/>
        <v>1313.1680771458007</v>
      </c>
      <c r="G26" s="26">
        <f t="shared" si="3"/>
        <v>65.65840385729004</v>
      </c>
      <c r="H26" s="26">
        <f t="shared" si="1"/>
        <v>1378.8264810030907</v>
      </c>
    </row>
    <row r="27" spans="1:12" customFormat="1" x14ac:dyDescent="0.25">
      <c r="A27" s="20" t="s">
        <v>161</v>
      </c>
      <c r="B27" s="21" t="s">
        <v>162</v>
      </c>
      <c r="C27" s="22" t="s">
        <v>163</v>
      </c>
      <c r="D27" s="23">
        <v>9403</v>
      </c>
      <c r="E27" s="24">
        <f t="shared" si="0"/>
        <v>2.9631658598922656E-2</v>
      </c>
      <c r="F27" s="25">
        <f t="shared" si="2"/>
        <v>3599.9182009918263</v>
      </c>
      <c r="G27" s="26">
        <f t="shared" si="3"/>
        <v>179.99591004959132</v>
      </c>
      <c r="H27" s="26">
        <f t="shared" si="1"/>
        <v>3779.9141110414175</v>
      </c>
    </row>
    <row r="28" spans="1:12" customFormat="1" x14ac:dyDescent="0.25">
      <c r="A28" s="20" t="s">
        <v>49</v>
      </c>
      <c r="B28" s="21" t="s">
        <v>50</v>
      </c>
      <c r="C28" s="22">
        <v>38649716000197</v>
      </c>
      <c r="D28" s="23">
        <v>3440</v>
      </c>
      <c r="E28" s="24">
        <f t="shared" si="0"/>
        <v>1.084046640224332E-2</v>
      </c>
      <c r="F28" s="25">
        <f t="shared" si="2"/>
        <v>1316.9965555048263</v>
      </c>
      <c r="G28" s="26">
        <f t="shared" si="3"/>
        <v>65.849827775241323</v>
      </c>
      <c r="H28" s="26">
        <f t="shared" si="1"/>
        <v>1382.8463832800676</v>
      </c>
    </row>
    <row r="29" spans="1:12" customFormat="1" x14ac:dyDescent="0.25">
      <c r="A29" s="20" t="s">
        <v>51</v>
      </c>
      <c r="B29" s="21" t="s">
        <v>52</v>
      </c>
      <c r="C29" s="22" t="s">
        <v>53</v>
      </c>
      <c r="D29" s="23">
        <v>4056</v>
      </c>
      <c r="E29" s="24">
        <f t="shared" si="0"/>
        <v>1.2781666199854333E-2</v>
      </c>
      <c r="F29" s="25">
        <f t="shared" si="2"/>
        <v>1552.830822420807</v>
      </c>
      <c r="G29" s="26">
        <f t="shared" si="3"/>
        <v>77.641541121040348</v>
      </c>
      <c r="H29" s="26">
        <f t="shared" si="1"/>
        <v>1630.4723635418472</v>
      </c>
    </row>
    <row r="30" spans="1:12" customFormat="1" x14ac:dyDescent="0.25">
      <c r="A30" s="20" t="s">
        <v>54</v>
      </c>
      <c r="B30" s="21" t="s">
        <v>55</v>
      </c>
      <c r="C30" s="22" t="s">
        <v>56</v>
      </c>
      <c r="D30" s="23">
        <v>11580</v>
      </c>
      <c r="E30" s="24">
        <f t="shared" si="0"/>
        <v>3.6492035156388852E-2</v>
      </c>
      <c r="F30" s="25">
        <f t="shared" si="2"/>
        <v>4433.3779397517119</v>
      </c>
      <c r="G30" s="26">
        <f t="shared" si="3"/>
        <v>221.66889698758561</v>
      </c>
      <c r="H30" s="26">
        <f t="shared" si="1"/>
        <v>4655.0468367392978</v>
      </c>
    </row>
    <row r="31" spans="1:12" customFormat="1" x14ac:dyDescent="0.25">
      <c r="A31" s="20" t="s">
        <v>57</v>
      </c>
      <c r="B31" s="21" t="s">
        <v>58</v>
      </c>
      <c r="C31" s="22" t="s">
        <v>178</v>
      </c>
      <c r="D31" s="23">
        <f>360+360+1510</f>
        <v>2230</v>
      </c>
      <c r="E31" s="24">
        <f t="shared" si="0"/>
        <v>7.0273953712216876E-3</v>
      </c>
      <c r="F31" s="25">
        <f t="shared" si="2"/>
        <v>853.75067406272183</v>
      </c>
      <c r="G31" s="26">
        <f t="shared" si="3"/>
        <v>42.687533703136097</v>
      </c>
      <c r="H31" s="26">
        <f t="shared" si="1"/>
        <v>896.4382077658579</v>
      </c>
    </row>
    <row r="32" spans="1:12" s="33" customFormat="1" ht="15.75" customHeight="1" x14ac:dyDescent="0.25">
      <c r="A32" s="20" t="s">
        <v>60</v>
      </c>
      <c r="B32" s="29" t="s">
        <v>61</v>
      </c>
      <c r="C32" s="30" t="s">
        <v>62</v>
      </c>
      <c r="D32" s="23">
        <f>5224+3930</f>
        <v>9154</v>
      </c>
      <c r="E32" s="24">
        <f t="shared" si="0"/>
        <v>2.8846985304109115E-2</v>
      </c>
      <c r="F32" s="25">
        <f t="shared" si="2"/>
        <v>3504.5890898520875</v>
      </c>
      <c r="G32" s="26">
        <f t="shared" si="3"/>
        <v>175.22945449260439</v>
      </c>
      <c r="H32" s="31">
        <f t="shared" si="1"/>
        <v>3679.8185443446919</v>
      </c>
      <c r="I32" s="32" t="s">
        <v>63</v>
      </c>
      <c r="L32" s="33" t="s">
        <v>64</v>
      </c>
    </row>
    <row r="33" spans="1:12" customFormat="1" ht="15.75" customHeight="1" x14ac:dyDescent="0.25">
      <c r="A33" s="20" t="s">
        <v>65</v>
      </c>
      <c r="B33" s="28" t="s">
        <v>66</v>
      </c>
      <c r="C33" s="22" t="s">
        <v>67</v>
      </c>
      <c r="D33" s="23">
        <v>2610</v>
      </c>
      <c r="E33" s="24">
        <f t="shared" si="0"/>
        <v>8.2248887528648448E-3</v>
      </c>
      <c r="F33" s="25">
        <f t="shared" si="2"/>
        <v>999.23285170569682</v>
      </c>
      <c r="G33" s="26">
        <f t="shared" si="3"/>
        <v>49.961642585284842</v>
      </c>
      <c r="H33" s="26">
        <f t="shared" si="1"/>
        <v>1049.1944942909818</v>
      </c>
    </row>
    <row r="34" spans="1:12" customFormat="1" ht="15.75" customHeight="1" x14ac:dyDescent="0.25">
      <c r="A34" s="20" t="s">
        <v>68</v>
      </c>
      <c r="B34" s="28" t="s">
        <v>69</v>
      </c>
      <c r="C34" s="22" t="s">
        <v>70</v>
      </c>
      <c r="D34" s="23">
        <v>5515</v>
      </c>
      <c r="E34" s="24">
        <f t="shared" si="0"/>
        <v>1.7379410525689511E-2</v>
      </c>
      <c r="F34" s="25">
        <f t="shared" si="2"/>
        <v>2111.4058150026508</v>
      </c>
      <c r="G34" s="26">
        <f t="shared" si="3"/>
        <v>105.57029075013254</v>
      </c>
      <c r="H34" s="26">
        <f t="shared" si="1"/>
        <v>2216.9761057527835</v>
      </c>
    </row>
    <row r="35" spans="1:12" customFormat="1" ht="15.75" customHeight="1" x14ac:dyDescent="0.25">
      <c r="A35" s="20" t="s">
        <v>71</v>
      </c>
      <c r="B35" s="21" t="s">
        <v>72</v>
      </c>
      <c r="C35" s="22">
        <v>17202383000183</v>
      </c>
      <c r="D35" s="23">
        <v>15332</v>
      </c>
      <c r="E35" s="24">
        <f t="shared" si="0"/>
        <v>4.8315706650928658E-2</v>
      </c>
      <c r="F35" s="25">
        <f t="shared" si="2"/>
        <v>5869.8230200581393</v>
      </c>
      <c r="G35" s="26">
        <f t="shared" si="3"/>
        <v>293.49115100290697</v>
      </c>
      <c r="H35" s="26">
        <f t="shared" si="1"/>
        <v>6163.3141710610462</v>
      </c>
    </row>
    <row r="36" spans="1:12" customFormat="1" ht="15.75" customHeight="1" x14ac:dyDescent="0.25">
      <c r="A36" s="20" t="s">
        <v>73</v>
      </c>
      <c r="B36" s="21" t="s">
        <v>74</v>
      </c>
      <c r="C36" s="22">
        <v>18183488000103</v>
      </c>
      <c r="D36" s="23">
        <v>7238</v>
      </c>
      <c r="E36" s="24">
        <f t="shared" si="0"/>
        <v>2.2809097621929404E-2</v>
      </c>
      <c r="F36" s="25">
        <f t="shared" si="2"/>
        <v>2771.0526362627711</v>
      </c>
      <c r="G36" s="26">
        <f t="shared" si="3"/>
        <v>138.55263181313856</v>
      </c>
      <c r="H36" s="26">
        <f t="shared" si="1"/>
        <v>2909.6052680759099</v>
      </c>
    </row>
    <row r="37" spans="1:12" customFormat="1" x14ac:dyDescent="0.25">
      <c r="A37" s="20" t="s">
        <v>75</v>
      </c>
      <c r="B37" s="21" t="s">
        <v>76</v>
      </c>
      <c r="C37" s="22">
        <v>18244070000150</v>
      </c>
      <c r="D37" s="23">
        <v>5941</v>
      </c>
      <c r="E37" s="24">
        <f t="shared" si="0"/>
        <v>1.8721863632478943E-2</v>
      </c>
      <c r="F37" s="25">
        <f t="shared" si="2"/>
        <v>2274.4989930971433</v>
      </c>
      <c r="G37" s="26">
        <f t="shared" si="3"/>
        <v>113.72494965485717</v>
      </c>
      <c r="H37" s="26">
        <f t="shared" si="1"/>
        <v>2388.2239427520003</v>
      </c>
    </row>
    <row r="38" spans="1:12" customFormat="1" x14ac:dyDescent="0.25">
      <c r="A38" s="20" t="s">
        <v>77</v>
      </c>
      <c r="B38" s="21" t="s">
        <v>78</v>
      </c>
      <c r="C38" s="22">
        <v>18244039000110</v>
      </c>
      <c r="D38" s="23">
        <v>4460</v>
      </c>
      <c r="E38" s="24">
        <f t="shared" si="0"/>
        <v>1.4054790742443375E-2</v>
      </c>
      <c r="F38" s="25">
        <f t="shared" si="2"/>
        <v>1707.5013481254437</v>
      </c>
      <c r="G38" s="26">
        <f t="shared" si="3"/>
        <v>85.375067406272194</v>
      </c>
      <c r="H38" s="26">
        <f t="shared" si="1"/>
        <v>1792.8764155317158</v>
      </c>
    </row>
    <row r="39" spans="1:12" customFormat="1" x14ac:dyDescent="0.25">
      <c r="A39" s="20" t="s">
        <v>79</v>
      </c>
      <c r="B39" s="21" t="s">
        <v>153</v>
      </c>
      <c r="C39" s="22" t="s">
        <v>154</v>
      </c>
      <c r="D39" s="23">
        <v>4415</v>
      </c>
      <c r="E39" s="24">
        <f t="shared" si="0"/>
        <v>1.3912982315669844E-2</v>
      </c>
      <c r="F39" s="25">
        <f t="shared" si="2"/>
        <v>1690.2731955098282</v>
      </c>
      <c r="G39" s="26">
        <f t="shared" si="3"/>
        <v>84.513659775491419</v>
      </c>
      <c r="H39" s="26">
        <f t="shared" si="1"/>
        <v>1774.7868552853197</v>
      </c>
    </row>
    <row r="40" spans="1:12" customFormat="1" x14ac:dyDescent="0.25">
      <c r="A40" s="20" t="s">
        <v>81</v>
      </c>
      <c r="B40" s="21" t="s">
        <v>82</v>
      </c>
      <c r="C40" s="22" t="s">
        <v>83</v>
      </c>
      <c r="D40" s="23">
        <v>8673</v>
      </c>
      <c r="E40" s="24">
        <f t="shared" si="0"/>
        <v>2.7331210786818699E-2</v>
      </c>
      <c r="F40" s="25">
        <f t="shared" si="2"/>
        <v>3320.4392807829536</v>
      </c>
      <c r="G40" s="26">
        <f t="shared" si="3"/>
        <v>166.02196403914769</v>
      </c>
      <c r="H40" s="26">
        <f t="shared" si="1"/>
        <v>3486.4612448221014</v>
      </c>
    </row>
    <row r="41" spans="1:12" customFormat="1" x14ac:dyDescent="0.25">
      <c r="A41" s="20" t="s">
        <v>84</v>
      </c>
      <c r="B41" s="21" t="s">
        <v>155</v>
      </c>
      <c r="C41" s="22" t="s">
        <v>86</v>
      </c>
      <c r="D41" s="23">
        <v>9239</v>
      </c>
      <c r="E41" s="24">
        <f t="shared" si="0"/>
        <v>2.9114845665792453E-2</v>
      </c>
      <c r="F41" s="25">
        <f t="shared" si="2"/>
        <v>3537.1311559038054</v>
      </c>
      <c r="G41" s="26">
        <f t="shared" si="3"/>
        <v>176.85655779519027</v>
      </c>
      <c r="H41" s="26">
        <f t="shared" si="1"/>
        <v>3713.9877136989958</v>
      </c>
    </row>
    <row r="42" spans="1:12" customFormat="1" x14ac:dyDescent="0.25">
      <c r="A42" s="20" t="s">
        <v>87</v>
      </c>
      <c r="B42" s="21" t="s">
        <v>88</v>
      </c>
      <c r="C42" s="22" t="s">
        <v>89</v>
      </c>
      <c r="D42" s="23">
        <v>4892</v>
      </c>
      <c r="E42" s="24">
        <f t="shared" si="0"/>
        <v>1.5416151639469281E-2</v>
      </c>
      <c r="F42" s="25">
        <f t="shared" si="2"/>
        <v>1872.891613235352</v>
      </c>
      <c r="G42" s="26">
        <f t="shared" si="3"/>
        <v>93.644580661767606</v>
      </c>
      <c r="H42" s="26">
        <f t="shared" si="1"/>
        <v>1966.5361938971196</v>
      </c>
    </row>
    <row r="43" spans="1:12" customFormat="1" x14ac:dyDescent="0.25">
      <c r="A43" s="20" t="s">
        <v>90</v>
      </c>
      <c r="B43" s="21" t="s">
        <v>91</v>
      </c>
      <c r="C43" s="22">
        <v>41497649000147</v>
      </c>
      <c r="D43" s="23">
        <v>2526</v>
      </c>
      <c r="E43" s="24">
        <f t="shared" si="0"/>
        <v>7.9601796895542518E-3</v>
      </c>
      <c r="F43" s="25">
        <f t="shared" si="2"/>
        <v>967.07363348988122</v>
      </c>
      <c r="G43" s="26">
        <f t="shared" si="3"/>
        <v>48.353681674494062</v>
      </c>
      <c r="H43" s="26">
        <f t="shared" si="1"/>
        <v>1015.4273151643753</v>
      </c>
    </row>
    <row r="44" spans="1:12" customFormat="1" x14ac:dyDescent="0.25">
      <c r="A44" s="20" t="s">
        <v>92</v>
      </c>
      <c r="B44" s="21" t="s">
        <v>93</v>
      </c>
      <c r="C44" s="22">
        <v>40580071000125</v>
      </c>
      <c r="D44" s="23">
        <v>3600</v>
      </c>
      <c r="E44" s="24">
        <f t="shared" si="0"/>
        <v>1.1344674141882545E-2</v>
      </c>
      <c r="F44" s="25">
        <f t="shared" si="2"/>
        <v>1378.252209249237</v>
      </c>
      <c r="G44" s="26">
        <f t="shared" si="3"/>
        <v>68.912610462461856</v>
      </c>
      <c r="H44" s="26">
        <f t="shared" si="1"/>
        <v>1447.1648197116988</v>
      </c>
      <c r="I44" s="32" t="s">
        <v>63</v>
      </c>
      <c r="L44" t="s">
        <v>94</v>
      </c>
    </row>
    <row r="45" spans="1:12" customFormat="1" x14ac:dyDescent="0.25">
      <c r="A45" s="20" t="s">
        <v>95</v>
      </c>
      <c r="B45" s="21" t="s">
        <v>96</v>
      </c>
      <c r="C45" s="22" t="s">
        <v>97</v>
      </c>
      <c r="D45" s="23">
        <v>3938</v>
      </c>
      <c r="E45" s="24">
        <f t="shared" si="0"/>
        <v>1.2409812991870406E-2</v>
      </c>
      <c r="F45" s="25">
        <f t="shared" si="2"/>
        <v>1507.6547777843043</v>
      </c>
      <c r="G45" s="26">
        <f t="shared" si="3"/>
        <v>75.382738889215219</v>
      </c>
      <c r="H45" s="26">
        <f t="shared" si="1"/>
        <v>1583.0375166735196</v>
      </c>
    </row>
    <row r="46" spans="1:12" customFormat="1" x14ac:dyDescent="0.25">
      <c r="A46" s="20" t="s">
        <v>98</v>
      </c>
      <c r="B46" s="21" t="s">
        <v>167</v>
      </c>
      <c r="C46" s="22" t="s">
        <v>168</v>
      </c>
      <c r="D46" s="23">
        <v>3707</v>
      </c>
      <c r="E46" s="24">
        <f t="shared" si="0"/>
        <v>1.1681863067766276E-2</v>
      </c>
      <c r="F46" s="25">
        <f t="shared" si="2"/>
        <v>1419.2169276908114</v>
      </c>
      <c r="G46" s="26">
        <f t="shared" si="3"/>
        <v>70.960846384540574</v>
      </c>
      <c r="H46" s="26">
        <f t="shared" si="1"/>
        <v>1490.1777740753521</v>
      </c>
    </row>
    <row r="47" spans="1:12" customFormat="1" x14ac:dyDescent="0.25">
      <c r="A47" s="20" t="s">
        <v>100</v>
      </c>
      <c r="B47" s="21" t="s">
        <v>101</v>
      </c>
      <c r="C47" s="22">
        <v>42109766000159</v>
      </c>
      <c r="D47" s="23">
        <v>5117</v>
      </c>
      <c r="E47" s="24">
        <f t="shared" si="0"/>
        <v>1.6125193773336939E-2</v>
      </c>
      <c r="F47" s="25">
        <f t="shared" si="2"/>
        <v>1959.0323763134293</v>
      </c>
      <c r="G47" s="26">
        <f t="shared" si="3"/>
        <v>97.951618815671466</v>
      </c>
      <c r="H47" s="26">
        <f t="shared" si="1"/>
        <v>2056.9839951291005</v>
      </c>
    </row>
    <row r="48" spans="1:12" customFormat="1" x14ac:dyDescent="0.25">
      <c r="A48" s="20" t="s">
        <v>102</v>
      </c>
      <c r="B48" s="21" t="s">
        <v>99</v>
      </c>
      <c r="C48" s="22">
        <v>18788190000119</v>
      </c>
      <c r="D48" s="23">
        <v>14717</v>
      </c>
      <c r="E48" s="24">
        <f t="shared" si="0"/>
        <v>4.6377658151690392E-2</v>
      </c>
      <c r="F48" s="25">
        <f t="shared" si="2"/>
        <v>5634.371600978061</v>
      </c>
      <c r="G48" s="26">
        <f t="shared" si="3"/>
        <v>281.71858004890305</v>
      </c>
      <c r="H48" s="26">
        <f t="shared" si="1"/>
        <v>5916.0901810269643</v>
      </c>
    </row>
    <row r="49" spans="1:10" customFormat="1" ht="13.5" customHeight="1" x14ac:dyDescent="0.25">
      <c r="A49" s="20" t="s">
        <v>103</v>
      </c>
      <c r="B49" s="21" t="s">
        <v>104</v>
      </c>
      <c r="C49" s="22">
        <v>32302613000170</v>
      </c>
      <c r="D49" s="23">
        <v>5439</v>
      </c>
      <c r="E49" s="24">
        <f t="shared" si="0"/>
        <v>1.7139911849360877E-2</v>
      </c>
      <c r="F49" s="25">
        <f t="shared" si="2"/>
        <v>2082.3093794740553</v>
      </c>
      <c r="G49" s="26">
        <f t="shared" si="3"/>
        <v>104.11546897370278</v>
      </c>
      <c r="H49" s="26">
        <f t="shared" si="1"/>
        <v>2186.424848447758</v>
      </c>
    </row>
    <row r="50" spans="1:10" customFormat="1" x14ac:dyDescent="0.25">
      <c r="A50" s="20" t="s">
        <v>105</v>
      </c>
      <c r="B50" s="21" t="s">
        <v>106</v>
      </c>
      <c r="C50" s="22">
        <v>28616552000148</v>
      </c>
      <c r="D50" s="23">
        <v>4123.71</v>
      </c>
      <c r="E50" s="24">
        <f t="shared" si="0"/>
        <v>1.2995040612672908E-2</v>
      </c>
      <c r="F50" s="25">
        <f t="shared" si="2"/>
        <v>1578.7534493897697</v>
      </c>
      <c r="G50" s="26">
        <f t="shared" si="3"/>
        <v>78.93767246948849</v>
      </c>
      <c r="H50" s="26">
        <f t="shared" si="1"/>
        <v>1657.6911218592581</v>
      </c>
    </row>
    <row r="51" spans="1:10" customFormat="1" x14ac:dyDescent="0.25">
      <c r="A51" s="20" t="s">
        <v>107</v>
      </c>
      <c r="B51" s="21" t="s">
        <v>108</v>
      </c>
      <c r="C51" s="22">
        <v>42579914000107</v>
      </c>
      <c r="D51" s="23">
        <v>4986.3599999999997</v>
      </c>
      <c r="E51" s="24">
        <f t="shared" si="0"/>
        <v>1.5713508153921512E-2</v>
      </c>
      <c r="F51" s="25">
        <f t="shared" si="2"/>
        <v>1909.017135031118</v>
      </c>
      <c r="G51" s="26">
        <f t="shared" si="3"/>
        <v>95.450856751555904</v>
      </c>
      <c r="H51" s="26">
        <f t="shared" si="1"/>
        <v>2004.4679917826738</v>
      </c>
    </row>
    <row r="52" spans="1:10" customFormat="1" x14ac:dyDescent="0.25">
      <c r="A52" s="20" t="s">
        <v>109</v>
      </c>
      <c r="B52" s="21" t="s">
        <v>110</v>
      </c>
      <c r="C52" s="22" t="s">
        <v>111</v>
      </c>
      <c r="D52" s="23">
        <v>7462</v>
      </c>
      <c r="E52" s="24">
        <f t="shared" si="0"/>
        <v>2.3514988457424318E-2</v>
      </c>
      <c r="F52" s="25">
        <f t="shared" si="2"/>
        <v>2856.810551504946</v>
      </c>
      <c r="G52" s="26">
        <f t="shared" si="3"/>
        <v>142.84052757524731</v>
      </c>
      <c r="H52" s="26">
        <f t="shared" si="1"/>
        <v>2999.6510790801935</v>
      </c>
      <c r="J52" s="44"/>
    </row>
    <row r="53" spans="1:10" customFormat="1" x14ac:dyDescent="0.25">
      <c r="A53" s="20" t="s">
        <v>112</v>
      </c>
      <c r="B53" s="21" t="s">
        <v>113</v>
      </c>
      <c r="C53" s="22" t="s">
        <v>114</v>
      </c>
      <c r="D53" s="23">
        <v>5525</v>
      </c>
      <c r="E53" s="24">
        <f t="shared" si="0"/>
        <v>1.7410923509416962E-2</v>
      </c>
      <c r="F53" s="25">
        <f t="shared" si="2"/>
        <v>2115.234293361676</v>
      </c>
      <c r="G53" s="26">
        <f t="shared" si="3"/>
        <v>105.76171466808381</v>
      </c>
      <c r="H53" s="26">
        <f t="shared" si="1"/>
        <v>2220.9960080297597</v>
      </c>
    </row>
    <row r="54" spans="1:10" customFormat="1" x14ac:dyDescent="0.25">
      <c r="A54" s="20" t="s">
        <v>115</v>
      </c>
      <c r="B54" s="21" t="s">
        <v>116</v>
      </c>
      <c r="C54" s="22">
        <v>26480299000112</v>
      </c>
      <c r="D54" s="23"/>
      <c r="E54" s="24">
        <f t="shared" ref="E54:E66" si="4">D54/$D$67</f>
        <v>0</v>
      </c>
      <c r="F54" s="25">
        <f t="shared" si="2"/>
        <v>0</v>
      </c>
      <c r="G54" s="26">
        <f t="shared" si="3"/>
        <v>0</v>
      </c>
      <c r="H54" s="26">
        <f t="shared" si="1"/>
        <v>0</v>
      </c>
    </row>
    <row r="55" spans="1:10" customFormat="1" x14ac:dyDescent="0.25">
      <c r="A55" s="20" t="s">
        <v>179</v>
      </c>
      <c r="B55" s="21" t="s">
        <v>180</v>
      </c>
      <c r="C55" s="22" t="s">
        <v>181</v>
      </c>
      <c r="D55" s="23">
        <v>11302</v>
      </c>
      <c r="E55" s="24">
        <f t="shared" si="4"/>
        <v>3.5615974208765701E-2</v>
      </c>
      <c r="F55" s="25">
        <f t="shared" si="2"/>
        <v>4326.9462413707988</v>
      </c>
      <c r="G55" s="26">
        <f t="shared" si="3"/>
        <v>216.34731206853996</v>
      </c>
      <c r="H55" s="26">
        <f t="shared" si="1"/>
        <v>4543.2935534393391</v>
      </c>
    </row>
    <row r="56" spans="1:10" customFormat="1" x14ac:dyDescent="0.25">
      <c r="A56" s="20" t="s">
        <v>117</v>
      </c>
      <c r="B56" s="21" t="s">
        <v>118</v>
      </c>
      <c r="C56" s="22" t="s">
        <v>119</v>
      </c>
      <c r="D56" s="23">
        <v>4943</v>
      </c>
      <c r="E56" s="24">
        <f t="shared" si="4"/>
        <v>1.5576867856479283E-2</v>
      </c>
      <c r="F56" s="25">
        <f t="shared" si="2"/>
        <v>1892.4168528663829</v>
      </c>
      <c r="G56" s="26">
        <f t="shared" si="3"/>
        <v>94.620842643319151</v>
      </c>
      <c r="H56" s="26">
        <f t="shared" si="1"/>
        <v>1987.037695509702</v>
      </c>
    </row>
    <row r="57" spans="1:10" customFormat="1" x14ac:dyDescent="0.25">
      <c r="A57" s="20" t="s">
        <v>120</v>
      </c>
      <c r="B57" s="21" t="s">
        <v>121</v>
      </c>
      <c r="C57" s="22">
        <v>12997366000166</v>
      </c>
      <c r="D57" s="23">
        <v>5160</v>
      </c>
      <c r="E57" s="24">
        <f t="shared" si="4"/>
        <v>1.6260699603364979E-2</v>
      </c>
      <c r="F57" s="25">
        <f t="shared" si="2"/>
        <v>1975.4948332572394</v>
      </c>
      <c r="G57" s="26">
        <f t="shared" si="3"/>
        <v>98.77474166286197</v>
      </c>
      <c r="H57" s="26">
        <f t="shared" si="1"/>
        <v>2074.2695749201011</v>
      </c>
    </row>
    <row r="58" spans="1:10" customFormat="1" ht="16.5" customHeight="1" x14ac:dyDescent="0.25">
      <c r="A58" s="20" t="s">
        <v>122</v>
      </c>
      <c r="B58" s="21" t="s">
        <v>123</v>
      </c>
      <c r="C58" s="22" t="s">
        <v>124</v>
      </c>
      <c r="D58" s="23">
        <v>6586</v>
      </c>
      <c r="E58" s="24">
        <f t="shared" si="4"/>
        <v>2.0754451082899566E-2</v>
      </c>
      <c r="F58" s="25">
        <f t="shared" si="2"/>
        <v>2521.4358472542986</v>
      </c>
      <c r="G58" s="26">
        <f t="shared" si="3"/>
        <v>126.07179236271493</v>
      </c>
      <c r="H58" s="26">
        <f t="shared" si="1"/>
        <v>2647.5076396170134</v>
      </c>
    </row>
    <row r="59" spans="1:10" customFormat="1" x14ac:dyDescent="0.25">
      <c r="A59" s="20" t="s">
        <v>125</v>
      </c>
      <c r="B59" s="86" t="s">
        <v>126</v>
      </c>
      <c r="C59" s="22">
        <v>11884518000151</v>
      </c>
      <c r="D59" s="23">
        <v>5644</v>
      </c>
      <c r="E59" s="24">
        <f t="shared" si="4"/>
        <v>1.7785928015773635E-2</v>
      </c>
      <c r="F59" s="25">
        <f t="shared" si="2"/>
        <v>2160.7931858340817</v>
      </c>
      <c r="G59" s="26">
        <f t="shared" si="3"/>
        <v>108.03965929170408</v>
      </c>
      <c r="H59" s="26">
        <f t="shared" si="1"/>
        <v>2268.8328451257858</v>
      </c>
    </row>
    <row r="60" spans="1:10" customFormat="1" x14ac:dyDescent="0.25">
      <c r="A60" s="20" t="s">
        <v>127</v>
      </c>
      <c r="B60" s="86" t="s">
        <v>128</v>
      </c>
      <c r="C60" s="22">
        <v>36188051000136</v>
      </c>
      <c r="D60" s="23">
        <v>6936</v>
      </c>
      <c r="E60" s="24">
        <f t="shared" si="4"/>
        <v>2.1857405513360368E-2</v>
      </c>
      <c r="F60" s="25">
        <f t="shared" si="2"/>
        <v>2655.4325898201964</v>
      </c>
      <c r="G60" s="26">
        <f t="shared" si="3"/>
        <v>132.77162949100983</v>
      </c>
      <c r="H60" s="26">
        <f t="shared" si="1"/>
        <v>2788.2042193112061</v>
      </c>
    </row>
    <row r="61" spans="1:10" customFormat="1" x14ac:dyDescent="0.25">
      <c r="A61" s="20" t="s">
        <v>129</v>
      </c>
      <c r="B61" s="86" t="s">
        <v>130</v>
      </c>
      <c r="C61" s="22" t="s">
        <v>131</v>
      </c>
      <c r="D61" s="23">
        <f>7425*40%</f>
        <v>2970</v>
      </c>
      <c r="E61" s="24">
        <f t="shared" si="4"/>
        <v>9.3593561670530998E-3</v>
      </c>
      <c r="F61" s="25">
        <f t="shared" si="2"/>
        <v>1137.0580726306205</v>
      </c>
      <c r="G61" s="26">
        <f t="shared" si="3"/>
        <v>56.852903631531028</v>
      </c>
      <c r="H61" s="26">
        <f t="shared" si="1"/>
        <v>1193.9109762621515</v>
      </c>
    </row>
    <row r="62" spans="1:10" customFormat="1" x14ac:dyDescent="0.25">
      <c r="A62" s="20" t="s">
        <v>132</v>
      </c>
      <c r="B62" s="86" t="s">
        <v>133</v>
      </c>
      <c r="C62" s="22">
        <v>18741082000190</v>
      </c>
      <c r="D62" s="23">
        <v>12183</v>
      </c>
      <c r="E62" s="24">
        <f t="shared" si="4"/>
        <v>3.8392268075154175E-2</v>
      </c>
      <c r="F62" s="25">
        <f t="shared" si="2"/>
        <v>4664.2351848009585</v>
      </c>
      <c r="G62" s="26">
        <f t="shared" si="3"/>
        <v>233.21175924004794</v>
      </c>
      <c r="H62" s="26">
        <f t="shared" si="1"/>
        <v>4897.4469440410066</v>
      </c>
    </row>
    <row r="63" spans="1:10" customFormat="1" x14ac:dyDescent="0.25">
      <c r="A63" s="20" t="s">
        <v>134</v>
      </c>
      <c r="B63" s="86" t="s">
        <v>135</v>
      </c>
      <c r="C63" s="22" t="s">
        <v>136</v>
      </c>
      <c r="D63" s="23">
        <v>4814</v>
      </c>
      <c r="E63" s="24">
        <f t="shared" si="4"/>
        <v>1.5170350366395158E-2</v>
      </c>
      <c r="F63" s="25">
        <f t="shared" si="2"/>
        <v>1843.0294820349518</v>
      </c>
      <c r="G63" s="26">
        <f t="shared" si="3"/>
        <v>92.151474101747596</v>
      </c>
      <c r="H63" s="26">
        <f t="shared" si="1"/>
        <v>1935.1809561366995</v>
      </c>
    </row>
    <row r="64" spans="1:10" customFormat="1" x14ac:dyDescent="0.25">
      <c r="A64" s="20" t="s">
        <v>183</v>
      </c>
      <c r="B64" s="21" t="s">
        <v>184</v>
      </c>
      <c r="C64" s="22" t="s">
        <v>185</v>
      </c>
      <c r="D64" s="23">
        <v>6188.23</v>
      </c>
      <c r="E64" s="24">
        <f t="shared" si="4"/>
        <v>1.9500959129172726E-2</v>
      </c>
      <c r="F64" s="25">
        <f t="shared" si="2"/>
        <v>2369.1504635673346</v>
      </c>
      <c r="G64" s="26">
        <f>F64*5%</f>
        <v>118.45752317836673</v>
      </c>
      <c r="H64" s="26">
        <f t="shared" si="1"/>
        <v>2487.6079867457011</v>
      </c>
    </row>
    <row r="65" spans="1:8" customFormat="1" x14ac:dyDescent="0.25">
      <c r="A65" s="20" t="s">
        <v>137</v>
      </c>
      <c r="B65" s="86" t="s">
        <v>138</v>
      </c>
      <c r="C65" s="22" t="s">
        <v>139</v>
      </c>
      <c r="D65" s="23">
        <v>3476.86</v>
      </c>
      <c r="E65" s="24">
        <f t="shared" si="4"/>
        <v>1.0956623260262708E-2</v>
      </c>
      <c r="F65" s="25">
        <f t="shared" si="2"/>
        <v>1331.1083267361951</v>
      </c>
      <c r="G65" s="26">
        <f t="shared" si="3"/>
        <v>66.555416336809756</v>
      </c>
      <c r="H65" s="26">
        <f t="shared" si="1"/>
        <v>1397.6637430730048</v>
      </c>
    </row>
    <row r="66" spans="1:8" customFormat="1" x14ac:dyDescent="0.25">
      <c r="A66" s="20" t="s">
        <v>140</v>
      </c>
      <c r="B66" s="28" t="s">
        <v>141</v>
      </c>
      <c r="C66" s="22">
        <v>11884518000151</v>
      </c>
      <c r="D66" s="23">
        <f>81377.44-14717-3314-9239+4126.33-9403+9177.57</f>
        <v>58008.340000000004</v>
      </c>
      <c r="E66" s="24">
        <f t="shared" si="4"/>
        <v>0.18280158744764749</v>
      </c>
      <c r="F66" s="25">
        <f t="shared" si="2"/>
        <v>22208.367433300245</v>
      </c>
      <c r="G66" s="26">
        <f t="shared" si="3"/>
        <v>1110.4183716650123</v>
      </c>
      <c r="H66" s="26">
        <f t="shared" si="1"/>
        <v>23318.785804965257</v>
      </c>
    </row>
    <row r="67" spans="1:8" customFormat="1" x14ac:dyDescent="0.25">
      <c r="A67" s="34"/>
      <c r="B67" s="35"/>
      <c r="C67" s="36" t="s">
        <v>142</v>
      </c>
      <c r="D67" s="37">
        <f>SUM(D23:D66)</f>
        <v>317329.52</v>
      </c>
      <c r="E67" s="38">
        <f>SUM(E23:E66)</f>
        <v>0.99999999999999978</v>
      </c>
      <c r="F67" s="98">
        <f>SUM(F23:F66)</f>
        <v>121488.91999999995</v>
      </c>
      <c r="G67" s="98">
        <f>SUM(G23:G66)</f>
        <v>6074.445999999999</v>
      </c>
      <c r="H67" s="99">
        <f>SUM(H23:H66)</f>
        <v>127563.36599999997</v>
      </c>
    </row>
    <row r="68" spans="1:8" customFormat="1" x14ac:dyDescent="0.25">
      <c r="D68" s="44"/>
      <c r="F68" s="41"/>
    </row>
    <row r="69" spans="1:8" customFormat="1" x14ac:dyDescent="0.25">
      <c r="F69" s="41"/>
    </row>
    <row r="70" spans="1:8" customFormat="1" x14ac:dyDescent="0.25">
      <c r="D70" s="44"/>
      <c r="E70" s="41"/>
      <c r="H70" s="42"/>
    </row>
    <row r="71" spans="1:8" customFormat="1" x14ac:dyDescent="0.25">
      <c r="E71" s="41"/>
    </row>
    <row r="72" spans="1:8" customFormat="1" x14ac:dyDescent="0.25"/>
    <row r="73" spans="1:8" customFormat="1" x14ac:dyDescent="0.25"/>
    <row r="74" spans="1:8" customFormat="1" x14ac:dyDescent="0.25"/>
    <row r="75" spans="1:8" customFormat="1" x14ac:dyDescent="0.25"/>
    <row r="76" spans="1:8" customFormat="1" x14ac:dyDescent="0.25"/>
    <row r="77" spans="1:8" customFormat="1" x14ac:dyDescent="0.25"/>
    <row r="78" spans="1:8" customFormat="1" x14ac:dyDescent="0.25"/>
    <row r="79" spans="1:8" customFormat="1" x14ac:dyDescent="0.25"/>
    <row r="80" spans="1:8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spans="1:8" customFormat="1" x14ac:dyDescent="0.25"/>
    <row r="146" spans="1:8" customFormat="1" x14ac:dyDescent="0.25"/>
    <row r="147" spans="1:8" customFormat="1" x14ac:dyDescent="0.25"/>
    <row r="148" spans="1:8" customFormat="1" x14ac:dyDescent="0.25"/>
    <row r="149" spans="1:8" customFormat="1" x14ac:dyDescent="0.25"/>
    <row r="150" spans="1:8" customFormat="1" x14ac:dyDescent="0.25"/>
    <row r="151" spans="1:8" customFormat="1" x14ac:dyDescent="0.25">
      <c r="A151" s="100"/>
      <c r="B151" s="100"/>
      <c r="C151" s="100"/>
      <c r="D151" s="100"/>
      <c r="E151" s="100"/>
    </row>
    <row r="152" spans="1:8" x14ac:dyDescent="0.25">
      <c r="F152"/>
      <c r="G152"/>
      <c r="H152"/>
    </row>
    <row r="153" spans="1:8" x14ac:dyDescent="0.25">
      <c r="F153"/>
      <c r="G153"/>
      <c r="H153"/>
    </row>
    <row r="154" spans="1:8" x14ac:dyDescent="0.25">
      <c r="F154"/>
      <c r="G154"/>
      <c r="H154"/>
    </row>
    <row r="155" spans="1:8" x14ac:dyDescent="0.25">
      <c r="F155"/>
      <c r="G155"/>
      <c r="H155"/>
    </row>
    <row r="156" spans="1:8" x14ac:dyDescent="0.25">
      <c r="F156"/>
      <c r="G156"/>
      <c r="H156"/>
    </row>
    <row r="157" spans="1:8" x14ac:dyDescent="0.25">
      <c r="F157"/>
      <c r="G157"/>
      <c r="H157"/>
    </row>
    <row r="158" spans="1:8" x14ac:dyDescent="0.25">
      <c r="F158"/>
      <c r="G158"/>
      <c r="H158"/>
    </row>
    <row r="159" spans="1:8" x14ac:dyDescent="0.25">
      <c r="F159"/>
      <c r="G159"/>
      <c r="H159"/>
    </row>
    <row r="160" spans="1:8" x14ac:dyDescent="0.25">
      <c r="F160"/>
      <c r="G160"/>
      <c r="H160"/>
    </row>
    <row r="161" spans="6:8" x14ac:dyDescent="0.25">
      <c r="F161"/>
      <c r="G161"/>
      <c r="H161"/>
    </row>
    <row r="162" spans="6:8" x14ac:dyDescent="0.25">
      <c r="F162"/>
      <c r="G162"/>
      <c r="H162"/>
    </row>
    <row r="163" spans="6:8" x14ac:dyDescent="0.25">
      <c r="F163"/>
      <c r="G163"/>
      <c r="H163"/>
    </row>
    <row r="164" spans="6:8" x14ac:dyDescent="0.25">
      <c r="F164"/>
      <c r="G164"/>
      <c r="H164"/>
    </row>
    <row r="165" spans="6:8" x14ac:dyDescent="0.25">
      <c r="F165"/>
      <c r="G165"/>
      <c r="H165"/>
    </row>
    <row r="166" spans="6:8" x14ac:dyDescent="0.25">
      <c r="F166"/>
      <c r="G166"/>
      <c r="H166"/>
    </row>
    <row r="167" spans="6:8" x14ac:dyDescent="0.25">
      <c r="F167"/>
      <c r="G167"/>
      <c r="H167"/>
    </row>
    <row r="168" spans="6:8" x14ac:dyDescent="0.25">
      <c r="F168"/>
      <c r="G168"/>
      <c r="H168"/>
    </row>
    <row r="169" spans="6:8" x14ac:dyDescent="0.25">
      <c r="F169"/>
      <c r="G169"/>
      <c r="H169"/>
    </row>
    <row r="170" spans="6:8" x14ac:dyDescent="0.25">
      <c r="F170"/>
      <c r="G170"/>
      <c r="H170"/>
    </row>
    <row r="171" spans="6:8" x14ac:dyDescent="0.25">
      <c r="F171"/>
      <c r="G171"/>
      <c r="H171"/>
    </row>
    <row r="172" spans="6:8" x14ac:dyDescent="0.25">
      <c r="F172"/>
      <c r="G172"/>
      <c r="H172"/>
    </row>
    <row r="173" spans="6:8" x14ac:dyDescent="0.25">
      <c r="F173"/>
      <c r="G173"/>
      <c r="H173"/>
    </row>
    <row r="174" spans="6:8" x14ac:dyDescent="0.25">
      <c r="F174"/>
      <c r="G174"/>
      <c r="H174"/>
    </row>
    <row r="175" spans="6:8" x14ac:dyDescent="0.25">
      <c r="F175"/>
      <c r="G175"/>
      <c r="H175"/>
    </row>
    <row r="176" spans="6:8" x14ac:dyDescent="0.25">
      <c r="F176"/>
      <c r="G176"/>
      <c r="H176"/>
    </row>
    <row r="177" spans="6:8" x14ac:dyDescent="0.25">
      <c r="F177"/>
      <c r="G177"/>
      <c r="H177"/>
    </row>
    <row r="178" spans="6:8" x14ac:dyDescent="0.25">
      <c r="F178"/>
      <c r="G178"/>
      <c r="H178"/>
    </row>
    <row r="179" spans="6:8" x14ac:dyDescent="0.25">
      <c r="F179"/>
      <c r="G179"/>
      <c r="H179"/>
    </row>
    <row r="180" spans="6:8" x14ac:dyDescent="0.25">
      <c r="F180"/>
      <c r="G180"/>
      <c r="H180"/>
    </row>
    <row r="181" spans="6:8" x14ac:dyDescent="0.25">
      <c r="F181"/>
      <c r="G181"/>
      <c r="H181"/>
    </row>
    <row r="182" spans="6:8" x14ac:dyDescent="0.25">
      <c r="F182"/>
      <c r="G182"/>
      <c r="H182"/>
    </row>
    <row r="183" spans="6:8" x14ac:dyDescent="0.25">
      <c r="F183"/>
      <c r="G183"/>
      <c r="H183"/>
    </row>
    <row r="184" spans="6:8" x14ac:dyDescent="0.25">
      <c r="F184"/>
      <c r="G184"/>
      <c r="H184"/>
    </row>
    <row r="185" spans="6:8" x14ac:dyDescent="0.25">
      <c r="F185"/>
      <c r="G185"/>
      <c r="H185"/>
    </row>
    <row r="186" spans="6:8" x14ac:dyDescent="0.25">
      <c r="F186"/>
      <c r="G186"/>
      <c r="H186"/>
    </row>
    <row r="187" spans="6:8" x14ac:dyDescent="0.25">
      <c r="F187"/>
      <c r="G187"/>
      <c r="H187"/>
    </row>
    <row r="188" spans="6:8" x14ac:dyDescent="0.25">
      <c r="F188"/>
      <c r="G188"/>
      <c r="H188"/>
    </row>
    <row r="189" spans="6:8" x14ac:dyDescent="0.25">
      <c r="F189"/>
      <c r="G189"/>
      <c r="H189"/>
    </row>
    <row r="190" spans="6:8" x14ac:dyDescent="0.25">
      <c r="F190"/>
      <c r="G190"/>
      <c r="H190"/>
    </row>
    <row r="191" spans="6:8" x14ac:dyDescent="0.25">
      <c r="F191"/>
      <c r="G191"/>
      <c r="H191"/>
    </row>
    <row r="192" spans="6:8" x14ac:dyDescent="0.25">
      <c r="F192"/>
      <c r="G192"/>
      <c r="H192"/>
    </row>
    <row r="193" spans="6:8" x14ac:dyDescent="0.25">
      <c r="F193"/>
      <c r="G193"/>
      <c r="H193"/>
    </row>
    <row r="194" spans="6:8" x14ac:dyDescent="0.25">
      <c r="F194"/>
      <c r="G194"/>
      <c r="H194"/>
    </row>
    <row r="195" spans="6:8" x14ac:dyDescent="0.25">
      <c r="F195"/>
      <c r="G195"/>
      <c r="H195"/>
    </row>
    <row r="196" spans="6:8" x14ac:dyDescent="0.25">
      <c r="F196"/>
      <c r="G196"/>
      <c r="H196"/>
    </row>
    <row r="197" spans="6:8" x14ac:dyDescent="0.25">
      <c r="F197"/>
      <c r="G197"/>
      <c r="H197"/>
    </row>
    <row r="198" spans="6:8" x14ac:dyDescent="0.25">
      <c r="F198"/>
      <c r="G198"/>
      <c r="H198"/>
    </row>
    <row r="199" spans="6:8" x14ac:dyDescent="0.25">
      <c r="F199"/>
      <c r="G199"/>
      <c r="H199"/>
    </row>
    <row r="200" spans="6:8" x14ac:dyDescent="0.25">
      <c r="F200"/>
      <c r="G200"/>
      <c r="H200"/>
    </row>
    <row r="201" spans="6:8" x14ac:dyDescent="0.25">
      <c r="F201"/>
      <c r="G201"/>
      <c r="H201"/>
    </row>
    <row r="202" spans="6:8" x14ac:dyDescent="0.25">
      <c r="F202"/>
      <c r="G202"/>
      <c r="H202"/>
    </row>
    <row r="203" spans="6:8" x14ac:dyDescent="0.25">
      <c r="F203"/>
      <c r="G203"/>
      <c r="H203"/>
    </row>
    <row r="204" spans="6:8" x14ac:dyDescent="0.25">
      <c r="F204"/>
      <c r="G204"/>
      <c r="H204"/>
    </row>
    <row r="205" spans="6:8" x14ac:dyDescent="0.25">
      <c r="F205"/>
      <c r="G205"/>
      <c r="H205"/>
    </row>
    <row r="206" spans="6:8" x14ac:dyDescent="0.25">
      <c r="F206"/>
      <c r="G206"/>
      <c r="H206"/>
    </row>
    <row r="207" spans="6:8" x14ac:dyDescent="0.25">
      <c r="F207"/>
      <c r="G207"/>
      <c r="H207"/>
    </row>
    <row r="208" spans="6:8" x14ac:dyDescent="0.25">
      <c r="F208"/>
      <c r="G208"/>
      <c r="H208"/>
    </row>
    <row r="209" spans="6:8" x14ac:dyDescent="0.25">
      <c r="F209"/>
      <c r="G209"/>
      <c r="H209"/>
    </row>
    <row r="210" spans="6:8" x14ac:dyDescent="0.25">
      <c r="F210"/>
      <c r="G210"/>
      <c r="H210"/>
    </row>
    <row r="211" spans="6:8" x14ac:dyDescent="0.25">
      <c r="F211"/>
      <c r="G211"/>
      <c r="H211"/>
    </row>
    <row r="212" spans="6:8" x14ac:dyDescent="0.25">
      <c r="F212"/>
      <c r="G212"/>
      <c r="H212"/>
    </row>
    <row r="213" spans="6:8" x14ac:dyDescent="0.25">
      <c r="F213"/>
      <c r="G213"/>
      <c r="H213"/>
    </row>
    <row r="214" spans="6:8" x14ac:dyDescent="0.25">
      <c r="F214"/>
      <c r="G214"/>
      <c r="H214"/>
    </row>
    <row r="215" spans="6:8" x14ac:dyDescent="0.25">
      <c r="F215"/>
      <c r="G215"/>
      <c r="H215"/>
    </row>
    <row r="216" spans="6:8" x14ac:dyDescent="0.25">
      <c r="F216"/>
      <c r="G216"/>
      <c r="H216"/>
    </row>
    <row r="217" spans="6:8" x14ac:dyDescent="0.25">
      <c r="F217"/>
      <c r="G217"/>
      <c r="H217"/>
    </row>
    <row r="218" spans="6:8" x14ac:dyDescent="0.25">
      <c r="F218"/>
      <c r="G218"/>
      <c r="H218"/>
    </row>
    <row r="219" spans="6:8" x14ac:dyDescent="0.25">
      <c r="F219"/>
      <c r="G219"/>
      <c r="H219"/>
    </row>
    <row r="220" spans="6:8" x14ac:dyDescent="0.25">
      <c r="F220"/>
      <c r="G220"/>
      <c r="H220"/>
    </row>
    <row r="221" spans="6:8" x14ac:dyDescent="0.25">
      <c r="F221"/>
      <c r="G221"/>
      <c r="H221"/>
    </row>
    <row r="222" spans="6:8" x14ac:dyDescent="0.25">
      <c r="F222"/>
      <c r="G222"/>
      <c r="H222"/>
    </row>
    <row r="223" spans="6:8" x14ac:dyDescent="0.25">
      <c r="F223"/>
      <c r="G223"/>
      <c r="H223"/>
    </row>
    <row r="224" spans="6:8" x14ac:dyDescent="0.25">
      <c r="F224"/>
      <c r="G224"/>
      <c r="H224"/>
    </row>
    <row r="225" spans="6:8" x14ac:dyDescent="0.25">
      <c r="F225"/>
      <c r="G225"/>
      <c r="H225"/>
    </row>
    <row r="226" spans="6:8" x14ac:dyDescent="0.25">
      <c r="F226"/>
      <c r="G226"/>
      <c r="H226"/>
    </row>
    <row r="227" spans="6:8" x14ac:dyDescent="0.25">
      <c r="F227"/>
      <c r="G227"/>
      <c r="H227"/>
    </row>
    <row r="228" spans="6:8" x14ac:dyDescent="0.25">
      <c r="F228"/>
      <c r="G228"/>
      <c r="H228"/>
    </row>
    <row r="229" spans="6:8" x14ac:dyDescent="0.25">
      <c r="F229"/>
      <c r="G229"/>
      <c r="H229"/>
    </row>
    <row r="230" spans="6:8" x14ac:dyDescent="0.25">
      <c r="F230"/>
      <c r="G230"/>
      <c r="H230"/>
    </row>
    <row r="231" spans="6:8" x14ac:dyDescent="0.25">
      <c r="F231"/>
      <c r="G231"/>
      <c r="H231"/>
    </row>
    <row r="232" spans="6:8" x14ac:dyDescent="0.25">
      <c r="F232"/>
      <c r="G232"/>
      <c r="H232"/>
    </row>
    <row r="233" spans="6:8" x14ac:dyDescent="0.25">
      <c r="G233"/>
      <c r="H233"/>
    </row>
  </sheetData>
  <mergeCells count="1">
    <mergeCell ref="B1:G1"/>
  </mergeCells>
  <pageMargins left="0.511811024" right="0.511811024" top="0.78740157499999996" bottom="0.78740157499999996" header="0.31496062000000002" footer="0.31496062000000002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59A94-6A8A-4A36-92E9-506F4494D53E}">
  <dimension ref="A1:L234"/>
  <sheetViews>
    <sheetView topLeftCell="B18" zoomScaleNormal="100" workbookViewId="0">
      <selection activeCell="B61" sqref="A61:XFD61"/>
    </sheetView>
  </sheetViews>
  <sheetFormatPr defaultColWidth="9.140625" defaultRowHeight="15" x14ac:dyDescent="0.25"/>
  <cols>
    <col min="1" max="1" width="29.5703125" style="100" customWidth="1"/>
    <col min="2" max="2" width="45.28515625" style="100" customWidth="1"/>
    <col min="3" max="3" width="29.7109375" style="100" customWidth="1"/>
    <col min="4" max="4" width="21.42578125" style="100" customWidth="1"/>
    <col min="5" max="5" width="17.42578125" style="100" customWidth="1"/>
    <col min="6" max="6" width="16.42578125" style="100" customWidth="1"/>
    <col min="7" max="7" width="17.140625" style="100" customWidth="1"/>
    <col min="8" max="8" width="16.85546875" style="100" bestFit="1" customWidth="1"/>
    <col min="9" max="16384" width="9.140625" style="100"/>
  </cols>
  <sheetData>
    <row r="1" spans="1:8" customFormat="1" ht="21.75" customHeight="1" x14ac:dyDescent="0.25">
      <c r="A1" s="87"/>
      <c r="B1" s="118" t="s">
        <v>0</v>
      </c>
      <c r="C1" s="119"/>
      <c r="D1" s="119"/>
      <c r="E1" s="119"/>
      <c r="F1" s="119"/>
      <c r="G1" s="120"/>
      <c r="H1" s="88"/>
    </row>
    <row r="2" spans="1:8" customFormat="1" ht="30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3"/>
      <c r="F2" s="4" t="s">
        <v>5</v>
      </c>
      <c r="G2" s="89"/>
      <c r="H2" s="6"/>
    </row>
    <row r="3" spans="1:8" customFormat="1" ht="30.6" customHeight="1" x14ac:dyDescent="0.25">
      <c r="A3" s="7">
        <v>1</v>
      </c>
      <c r="B3" s="8" t="s">
        <v>6</v>
      </c>
      <c r="C3" s="8"/>
      <c r="D3" s="9">
        <v>45901</v>
      </c>
      <c r="E3" s="9"/>
      <c r="F3" s="10">
        <f>548.46+550+5000</f>
        <v>6098.46</v>
      </c>
      <c r="G3" s="89"/>
      <c r="H3" s="6"/>
    </row>
    <row r="4" spans="1:8" customFormat="1" ht="30.6" customHeight="1" x14ac:dyDescent="0.25">
      <c r="A4" s="7">
        <v>2</v>
      </c>
      <c r="B4" s="8" t="s">
        <v>8</v>
      </c>
      <c r="C4" s="8" t="s">
        <v>9</v>
      </c>
      <c r="D4" s="9">
        <v>45901</v>
      </c>
      <c r="E4" s="9"/>
      <c r="F4" s="10">
        <v>39590</v>
      </c>
      <c r="G4" s="89"/>
      <c r="H4" s="11"/>
    </row>
    <row r="5" spans="1:8" customFormat="1" ht="30.6" customHeight="1" x14ac:dyDescent="0.25">
      <c r="A5" s="7">
        <v>3</v>
      </c>
      <c r="B5" s="8" t="s">
        <v>10</v>
      </c>
      <c r="C5" s="12" t="s">
        <v>11</v>
      </c>
      <c r="D5" s="9">
        <v>45901</v>
      </c>
      <c r="E5" s="9"/>
      <c r="F5" s="10">
        <v>39510.6</v>
      </c>
      <c r="G5" s="89"/>
      <c r="H5" s="11"/>
    </row>
    <row r="6" spans="1:8" customFormat="1" ht="30.6" customHeight="1" x14ac:dyDescent="0.25">
      <c r="A6" s="7">
        <v>4</v>
      </c>
      <c r="B6" s="8" t="s">
        <v>189</v>
      </c>
      <c r="C6" s="12" t="s">
        <v>190</v>
      </c>
      <c r="D6" s="9">
        <v>45901</v>
      </c>
      <c r="E6" s="9"/>
      <c r="F6" s="10">
        <v>24000</v>
      </c>
      <c r="G6" s="89"/>
      <c r="H6" s="11"/>
    </row>
    <row r="7" spans="1:8" customFormat="1" ht="30.6" customHeight="1" x14ac:dyDescent="0.25">
      <c r="A7" s="7">
        <v>5</v>
      </c>
      <c r="B7" s="8" t="s">
        <v>191</v>
      </c>
      <c r="C7" s="8"/>
      <c r="D7" s="9">
        <v>45901</v>
      </c>
      <c r="E7" s="9"/>
      <c r="F7" s="10">
        <v>300</v>
      </c>
      <c r="G7" s="89"/>
      <c r="H7" s="6"/>
    </row>
    <row r="8" spans="1:8" customFormat="1" ht="30.6" customHeight="1" x14ac:dyDescent="0.25">
      <c r="A8" s="7">
        <v>6</v>
      </c>
      <c r="B8" s="8" t="s">
        <v>12</v>
      </c>
      <c r="C8" s="8"/>
      <c r="D8" s="9">
        <v>45901</v>
      </c>
      <c r="E8" s="9"/>
      <c r="F8" s="10">
        <v>459.91</v>
      </c>
      <c r="G8" s="89"/>
      <c r="H8" s="6"/>
    </row>
    <row r="9" spans="1:8" customFormat="1" ht="30.6" customHeight="1" x14ac:dyDescent="0.25">
      <c r="A9" s="7">
        <v>7</v>
      </c>
      <c r="B9" s="8" t="s">
        <v>13</v>
      </c>
      <c r="C9" s="8" t="s">
        <v>14</v>
      </c>
      <c r="D9" s="9">
        <v>45901</v>
      </c>
      <c r="E9" s="9"/>
      <c r="F9" s="13">
        <v>1518</v>
      </c>
      <c r="G9" s="89"/>
      <c r="H9" s="6"/>
    </row>
    <row r="10" spans="1:8" customFormat="1" ht="30.6" customHeight="1" x14ac:dyDescent="0.25">
      <c r="A10" s="7">
        <v>8</v>
      </c>
      <c r="B10" s="8" t="s">
        <v>15</v>
      </c>
      <c r="C10" s="8" t="s">
        <v>16</v>
      </c>
      <c r="D10" s="9">
        <v>45901</v>
      </c>
      <c r="E10" s="9"/>
      <c r="F10" s="13">
        <v>2500</v>
      </c>
      <c r="G10" s="89"/>
      <c r="H10" s="6"/>
    </row>
    <row r="11" spans="1:8" customFormat="1" ht="34.5" customHeight="1" x14ac:dyDescent="0.25">
      <c r="A11" s="7">
        <v>9</v>
      </c>
      <c r="B11" s="14" t="s">
        <v>17</v>
      </c>
      <c r="C11" s="12" t="s">
        <v>18</v>
      </c>
      <c r="D11" s="9">
        <v>45901</v>
      </c>
      <c r="E11" s="9"/>
      <c r="F11" s="13">
        <v>1274</v>
      </c>
      <c r="G11" s="89"/>
      <c r="H11" s="6"/>
    </row>
    <row r="12" spans="1:8" customFormat="1" ht="30.6" customHeight="1" x14ac:dyDescent="0.25">
      <c r="A12" s="7">
        <v>10</v>
      </c>
      <c r="B12" s="14" t="s">
        <v>19</v>
      </c>
      <c r="C12" s="14" t="s">
        <v>20</v>
      </c>
      <c r="D12" s="9">
        <v>45901</v>
      </c>
      <c r="E12" s="9"/>
      <c r="F12" s="13">
        <v>227.75</v>
      </c>
      <c r="G12" s="89"/>
      <c r="H12" s="6"/>
    </row>
    <row r="13" spans="1:8" customFormat="1" ht="30.6" customHeight="1" x14ac:dyDescent="0.25">
      <c r="A13" s="7">
        <v>11</v>
      </c>
      <c r="B13" s="14" t="s">
        <v>149</v>
      </c>
      <c r="C13" s="14" t="s">
        <v>150</v>
      </c>
      <c r="D13" s="9">
        <v>45901</v>
      </c>
      <c r="E13" s="9"/>
      <c r="F13" s="13">
        <v>149.9</v>
      </c>
      <c r="G13" s="89"/>
      <c r="H13" s="6"/>
    </row>
    <row r="14" spans="1:8" customFormat="1" ht="30.6" customHeight="1" x14ac:dyDescent="0.25">
      <c r="A14" s="7">
        <v>12</v>
      </c>
      <c r="B14" s="14" t="s">
        <v>21</v>
      </c>
      <c r="C14" s="12" t="s">
        <v>22</v>
      </c>
      <c r="D14" s="9">
        <v>45901</v>
      </c>
      <c r="E14" s="9"/>
      <c r="F14" s="13">
        <v>308</v>
      </c>
      <c r="G14" s="89"/>
      <c r="H14" s="15"/>
    </row>
    <row r="15" spans="1:8" customFormat="1" ht="30.6" customHeight="1" x14ac:dyDescent="0.25">
      <c r="A15" s="7">
        <v>13</v>
      </c>
      <c r="B15" s="14" t="s">
        <v>23</v>
      </c>
      <c r="C15" s="8"/>
      <c r="D15" s="9">
        <v>45901</v>
      </c>
      <c r="E15" s="9"/>
      <c r="F15" s="13">
        <v>80</v>
      </c>
      <c r="G15" s="89"/>
      <c r="H15" s="6"/>
    </row>
    <row r="16" spans="1:8" customFormat="1" ht="31.5" customHeight="1" x14ac:dyDescent="0.25">
      <c r="A16" s="7">
        <v>14</v>
      </c>
      <c r="B16" s="14" t="s">
        <v>24</v>
      </c>
      <c r="C16" s="12" t="s">
        <v>25</v>
      </c>
      <c r="D16" s="9">
        <v>45901</v>
      </c>
      <c r="E16" s="9"/>
      <c r="F16" s="13">
        <v>474.1</v>
      </c>
      <c r="G16" s="89"/>
      <c r="H16" s="6"/>
    </row>
    <row r="17" spans="1:12" customFormat="1" ht="31.5" customHeight="1" x14ac:dyDescent="0.25">
      <c r="A17" s="7">
        <v>15</v>
      </c>
      <c r="B17" s="14" t="s">
        <v>192</v>
      </c>
      <c r="C17" s="12" t="s">
        <v>193</v>
      </c>
      <c r="D17" s="9">
        <v>45901</v>
      </c>
      <c r="E17" s="9"/>
      <c r="F17" s="13">
        <v>7.23</v>
      </c>
      <c r="G17" s="89"/>
      <c r="H17" s="6"/>
    </row>
    <row r="18" spans="1:12" customFormat="1" ht="31.5" customHeight="1" x14ac:dyDescent="0.25">
      <c r="A18" s="7">
        <v>16</v>
      </c>
      <c r="B18" s="14" t="s">
        <v>26</v>
      </c>
      <c r="C18" s="12" t="s">
        <v>194</v>
      </c>
      <c r="D18" s="9">
        <v>45901</v>
      </c>
      <c r="E18" s="9"/>
      <c r="F18" s="13">
        <v>73.900000000000006</v>
      </c>
      <c r="G18" s="89"/>
      <c r="H18" s="6"/>
    </row>
    <row r="19" spans="1:12" customFormat="1" ht="31.5" customHeight="1" x14ac:dyDescent="0.25">
      <c r="A19" s="7">
        <v>17</v>
      </c>
      <c r="B19" s="14" t="s">
        <v>26</v>
      </c>
      <c r="C19" s="12" t="s">
        <v>195</v>
      </c>
      <c r="D19" s="9">
        <v>45901</v>
      </c>
      <c r="E19" s="9"/>
      <c r="F19" s="13">
        <v>190.9</v>
      </c>
      <c r="G19" s="89"/>
      <c r="H19" s="6"/>
    </row>
    <row r="20" spans="1:12" customFormat="1" ht="31.5" customHeight="1" x14ac:dyDescent="0.25">
      <c r="A20" s="7">
        <v>18</v>
      </c>
      <c r="B20" s="14" t="s">
        <v>196</v>
      </c>
      <c r="C20" s="12" t="s">
        <v>197</v>
      </c>
      <c r="D20" s="9">
        <v>45901</v>
      </c>
      <c r="E20" s="9"/>
      <c r="F20" s="13">
        <v>4726.17</v>
      </c>
      <c r="G20" s="89"/>
      <c r="H20" s="6"/>
    </row>
    <row r="21" spans="1:12" customFormat="1" ht="42" customHeight="1" x14ac:dyDescent="0.25">
      <c r="A21" s="90"/>
      <c r="B21" s="91" t="s">
        <v>31</v>
      </c>
      <c r="C21" s="92"/>
      <c r="D21" s="2"/>
      <c r="E21" s="93"/>
      <c r="F21" s="94">
        <f>SUM(F3:F20)</f>
        <v>121488.91999999998</v>
      </c>
      <c r="G21" s="95"/>
      <c r="H21" s="6"/>
    </row>
    <row r="22" spans="1:12" customFormat="1" ht="21.75" customHeight="1" x14ac:dyDescent="0.25">
      <c r="A22" s="17" t="s">
        <v>32</v>
      </c>
      <c r="B22" s="17" t="s">
        <v>33</v>
      </c>
      <c r="C22" s="96" t="s">
        <v>34</v>
      </c>
      <c r="D22" s="17" t="s">
        <v>35</v>
      </c>
      <c r="E22" s="17" t="s">
        <v>36</v>
      </c>
      <c r="F22" s="17" t="s">
        <v>37</v>
      </c>
      <c r="G22" s="97" t="s">
        <v>38</v>
      </c>
      <c r="H22" s="96" t="s">
        <v>39</v>
      </c>
    </row>
    <row r="23" spans="1:12" s="27" customFormat="1" ht="15" customHeight="1" x14ac:dyDescent="0.25">
      <c r="A23" s="20" t="s">
        <v>40</v>
      </c>
      <c r="B23" s="21" t="s">
        <v>41</v>
      </c>
      <c r="C23" s="22" t="s">
        <v>42</v>
      </c>
      <c r="D23" s="23">
        <v>4016</v>
      </c>
      <c r="E23" s="24">
        <f>D23/$D$68</f>
        <v>1.261051708332556E-2</v>
      </c>
      <c r="F23" s="25">
        <f>$F$21*E23</f>
        <v>1532.0381010947722</v>
      </c>
      <c r="G23" s="26">
        <f>F23*5%</f>
        <v>76.601905054738609</v>
      </c>
      <c r="H23" s="26">
        <f t="shared" ref="H23:H67" si="0">F23+G23</f>
        <v>1608.6400061495108</v>
      </c>
    </row>
    <row r="24" spans="1:12" customFormat="1" x14ac:dyDescent="0.25">
      <c r="A24" s="20" t="s">
        <v>43</v>
      </c>
      <c r="B24" s="28" t="s">
        <v>44</v>
      </c>
      <c r="C24" s="22">
        <v>18778225000139</v>
      </c>
      <c r="D24" s="23">
        <v>8711.2199999999993</v>
      </c>
      <c r="E24" s="24">
        <f t="shared" ref="E24:E67" si="1">D24/$D$68</f>
        <v>2.7353831829334482E-2</v>
      </c>
      <c r="F24" s="25">
        <f t="shared" ref="F24:F67" si="2">$F$21*E24</f>
        <v>3323.1874868074701</v>
      </c>
      <c r="G24" s="26">
        <f t="shared" ref="G24:G67" si="3">F24*5%</f>
        <v>166.15937434037352</v>
      </c>
      <c r="H24" s="26">
        <f t="shared" si="0"/>
        <v>3489.3468611478438</v>
      </c>
    </row>
    <row r="25" spans="1:12" customFormat="1" x14ac:dyDescent="0.25">
      <c r="A25" s="20" t="s">
        <v>45</v>
      </c>
      <c r="B25" s="28" t="s">
        <v>46</v>
      </c>
      <c r="C25" s="22">
        <v>41993875000119</v>
      </c>
      <c r="D25" s="23">
        <v>3641.8</v>
      </c>
      <c r="E25" s="24">
        <f t="shared" si="1"/>
        <v>1.143550326545195E-2</v>
      </c>
      <c r="F25" s="25">
        <f t="shared" si="2"/>
        <v>1389.2869413762305</v>
      </c>
      <c r="G25" s="26">
        <f t="shared" si="3"/>
        <v>69.464347068811534</v>
      </c>
      <c r="H25" s="26">
        <f t="shared" si="0"/>
        <v>1458.7512884450421</v>
      </c>
    </row>
    <row r="26" spans="1:12" customFormat="1" x14ac:dyDescent="0.25">
      <c r="A26" s="20" t="s">
        <v>47</v>
      </c>
      <c r="B26" s="21" t="s">
        <v>48</v>
      </c>
      <c r="C26" s="22">
        <v>24781302000102</v>
      </c>
      <c r="D26" s="23">
        <v>3430</v>
      </c>
      <c r="E26" s="24">
        <f t="shared" si="1"/>
        <v>1.07704366523423E-2</v>
      </c>
      <c r="F26" s="25">
        <f t="shared" si="2"/>
        <v>1308.4887168214814</v>
      </c>
      <c r="G26" s="26">
        <f t="shared" si="3"/>
        <v>65.424435841074072</v>
      </c>
      <c r="H26" s="26">
        <f t="shared" si="0"/>
        <v>1373.9131526625554</v>
      </c>
    </row>
    <row r="27" spans="1:12" customFormat="1" x14ac:dyDescent="0.25">
      <c r="A27" s="20" t="s">
        <v>161</v>
      </c>
      <c r="B27" s="21" t="s">
        <v>162</v>
      </c>
      <c r="C27" s="22" t="s">
        <v>163</v>
      </c>
      <c r="D27" s="23">
        <v>9403</v>
      </c>
      <c r="E27" s="24">
        <f t="shared" si="1"/>
        <v>2.9526068758593187E-2</v>
      </c>
      <c r="F27" s="25">
        <f t="shared" si="2"/>
        <v>3587.0902053272266</v>
      </c>
      <c r="G27" s="26">
        <f t="shared" si="3"/>
        <v>179.35451026636133</v>
      </c>
      <c r="H27" s="26">
        <f t="shared" si="0"/>
        <v>3766.4447155935877</v>
      </c>
    </row>
    <row r="28" spans="1:12" customFormat="1" x14ac:dyDescent="0.25">
      <c r="A28" s="20" t="s">
        <v>49</v>
      </c>
      <c r="B28" s="21" t="s">
        <v>50</v>
      </c>
      <c r="C28" s="22">
        <v>38649716000197</v>
      </c>
      <c r="D28" s="23">
        <v>3440</v>
      </c>
      <c r="E28" s="24">
        <f t="shared" si="1"/>
        <v>1.0801837342290819E-2</v>
      </c>
      <c r="F28" s="25">
        <f t="shared" si="2"/>
        <v>1312.3035527305817</v>
      </c>
      <c r="G28" s="26">
        <f t="shared" si="3"/>
        <v>65.615177636529083</v>
      </c>
      <c r="H28" s="26">
        <f t="shared" si="0"/>
        <v>1377.9187303671108</v>
      </c>
    </row>
    <row r="29" spans="1:12" customFormat="1" x14ac:dyDescent="0.25">
      <c r="A29" s="20" t="s">
        <v>51</v>
      </c>
      <c r="B29" s="21" t="s">
        <v>52</v>
      </c>
      <c r="C29" s="22" t="s">
        <v>53</v>
      </c>
      <c r="D29" s="23">
        <v>4056</v>
      </c>
      <c r="E29" s="24">
        <f t="shared" si="1"/>
        <v>1.2736119843119641E-2</v>
      </c>
      <c r="F29" s="25">
        <f t="shared" si="2"/>
        <v>1547.2974447311744</v>
      </c>
      <c r="G29" s="26">
        <f t="shared" si="3"/>
        <v>77.364872236558725</v>
      </c>
      <c r="H29" s="26">
        <f t="shared" si="0"/>
        <v>1624.6623169677332</v>
      </c>
    </row>
    <row r="30" spans="1:12" customFormat="1" x14ac:dyDescent="0.25">
      <c r="A30" s="20" t="s">
        <v>54</v>
      </c>
      <c r="B30" s="21" t="s">
        <v>55</v>
      </c>
      <c r="C30" s="22" t="s">
        <v>56</v>
      </c>
      <c r="D30" s="23">
        <v>11580</v>
      </c>
      <c r="E30" s="24">
        <f t="shared" si="1"/>
        <v>3.6361998960385951E-2</v>
      </c>
      <c r="F30" s="25">
        <f t="shared" si="2"/>
        <v>4417.5799827384117</v>
      </c>
      <c r="G30" s="26">
        <f t="shared" si="3"/>
        <v>220.87899913692058</v>
      </c>
      <c r="H30" s="26">
        <f t="shared" si="0"/>
        <v>4638.458981875332</v>
      </c>
    </row>
    <row r="31" spans="1:12" customFormat="1" x14ac:dyDescent="0.25">
      <c r="A31" s="20" t="s">
        <v>57</v>
      </c>
      <c r="B31" s="21" t="s">
        <v>58</v>
      </c>
      <c r="C31" s="22" t="s">
        <v>178</v>
      </c>
      <c r="D31" s="23">
        <f>360+360+1510</f>
        <v>2230</v>
      </c>
      <c r="E31" s="24">
        <f t="shared" si="1"/>
        <v>7.0023538585199203E-3</v>
      </c>
      <c r="F31" s="25">
        <f t="shared" si="2"/>
        <v>850.70840772941779</v>
      </c>
      <c r="G31" s="26">
        <f t="shared" si="3"/>
        <v>42.535420386470889</v>
      </c>
      <c r="H31" s="26">
        <f t="shared" si="0"/>
        <v>893.24382811588862</v>
      </c>
    </row>
    <row r="32" spans="1:12" s="33" customFormat="1" ht="15.75" customHeight="1" x14ac:dyDescent="0.25">
      <c r="A32" s="20" t="s">
        <v>60</v>
      </c>
      <c r="B32" s="29" t="s">
        <v>61</v>
      </c>
      <c r="C32" s="30" t="s">
        <v>62</v>
      </c>
      <c r="D32" s="23">
        <f>5224+3930</f>
        <v>9154</v>
      </c>
      <c r="E32" s="24">
        <f t="shared" si="1"/>
        <v>2.8744191578875044E-2</v>
      </c>
      <c r="F32" s="25">
        <f t="shared" si="2"/>
        <v>3492.1007911906236</v>
      </c>
      <c r="G32" s="26">
        <f t="shared" si="3"/>
        <v>174.60503955953118</v>
      </c>
      <c r="H32" s="31">
        <f t="shared" si="0"/>
        <v>3666.7058307501547</v>
      </c>
      <c r="I32" s="32" t="s">
        <v>63</v>
      </c>
      <c r="L32" s="33" t="s">
        <v>64</v>
      </c>
    </row>
    <row r="33" spans="1:12" customFormat="1" ht="15.75" customHeight="1" x14ac:dyDescent="0.25">
      <c r="A33" s="20" t="s">
        <v>65</v>
      </c>
      <c r="B33" s="28" t="s">
        <v>66</v>
      </c>
      <c r="C33" s="22" t="s">
        <v>67</v>
      </c>
      <c r="D33" s="23">
        <v>2610</v>
      </c>
      <c r="E33" s="24">
        <f t="shared" si="1"/>
        <v>8.195580076563673E-3</v>
      </c>
      <c r="F33" s="25">
        <f t="shared" si="2"/>
        <v>995.67217227523781</v>
      </c>
      <c r="G33" s="26">
        <f t="shared" si="3"/>
        <v>49.783608613761892</v>
      </c>
      <c r="H33" s="26">
        <f t="shared" si="0"/>
        <v>1045.4557808889997</v>
      </c>
    </row>
    <row r="34" spans="1:12" customFormat="1" ht="15.75" customHeight="1" x14ac:dyDescent="0.25">
      <c r="A34" s="20" t="s">
        <v>68</v>
      </c>
      <c r="B34" s="28" t="s">
        <v>69</v>
      </c>
      <c r="C34" s="22" t="s">
        <v>70</v>
      </c>
      <c r="D34" s="23">
        <v>5515</v>
      </c>
      <c r="E34" s="24">
        <f t="shared" si="1"/>
        <v>1.7317480506608682E-2</v>
      </c>
      <c r="F34" s="25">
        <f t="shared" si="2"/>
        <v>2103.8820038689414</v>
      </c>
      <c r="G34" s="26">
        <f t="shared" si="3"/>
        <v>105.19410019344707</v>
      </c>
      <c r="H34" s="26">
        <f t="shared" si="0"/>
        <v>2209.0761040623884</v>
      </c>
    </row>
    <row r="35" spans="1:12" customFormat="1" ht="15.75" customHeight="1" x14ac:dyDescent="0.25">
      <c r="A35" s="20" t="s">
        <v>71</v>
      </c>
      <c r="B35" s="21" t="s">
        <v>72</v>
      </c>
      <c r="C35" s="22">
        <v>17202383000183</v>
      </c>
      <c r="D35" s="23">
        <v>15332</v>
      </c>
      <c r="E35" s="24">
        <f t="shared" si="1"/>
        <v>4.814353782907059E-2</v>
      </c>
      <c r="F35" s="25">
        <f t="shared" si="2"/>
        <v>5848.9064158329302</v>
      </c>
      <c r="G35" s="26">
        <f t="shared" si="3"/>
        <v>292.44532079164651</v>
      </c>
      <c r="H35" s="26">
        <f t="shared" si="0"/>
        <v>6141.3517366245769</v>
      </c>
    </row>
    <row r="36" spans="1:12" customFormat="1" ht="15.75" customHeight="1" x14ac:dyDescent="0.25">
      <c r="A36" s="20" t="s">
        <v>73</v>
      </c>
      <c r="B36" s="21" t="s">
        <v>74</v>
      </c>
      <c r="C36" s="22">
        <v>18183488000103</v>
      </c>
      <c r="D36" s="23">
        <v>7238</v>
      </c>
      <c r="E36" s="24">
        <f t="shared" si="1"/>
        <v>2.2727819384738647E-2</v>
      </c>
      <c r="F36" s="25">
        <f t="shared" si="2"/>
        <v>2761.1782310069625</v>
      </c>
      <c r="G36" s="26">
        <f t="shared" si="3"/>
        <v>138.05891155034814</v>
      </c>
      <c r="H36" s="26">
        <f t="shared" si="0"/>
        <v>2899.2371425573106</v>
      </c>
    </row>
    <row r="37" spans="1:12" customFormat="1" x14ac:dyDescent="0.25">
      <c r="A37" s="20" t="s">
        <v>75</v>
      </c>
      <c r="B37" s="21" t="s">
        <v>76</v>
      </c>
      <c r="C37" s="22">
        <v>18244070000150</v>
      </c>
      <c r="D37" s="23">
        <v>5941</v>
      </c>
      <c r="E37" s="24">
        <f t="shared" si="1"/>
        <v>1.8655149898415626E-2</v>
      </c>
      <c r="F37" s="25">
        <f t="shared" si="2"/>
        <v>2266.3940135966236</v>
      </c>
      <c r="G37" s="26">
        <f t="shared" si="3"/>
        <v>113.31970067983119</v>
      </c>
      <c r="H37" s="26">
        <f t="shared" si="0"/>
        <v>2379.713714276455</v>
      </c>
    </row>
    <row r="38" spans="1:12" customFormat="1" x14ac:dyDescent="0.25">
      <c r="A38" s="20" t="s">
        <v>77</v>
      </c>
      <c r="B38" s="21" t="s">
        <v>78</v>
      </c>
      <c r="C38" s="22">
        <v>18244039000110</v>
      </c>
      <c r="D38" s="23">
        <v>4460</v>
      </c>
      <c r="E38" s="24">
        <f t="shared" si="1"/>
        <v>1.4004707717039841E-2</v>
      </c>
      <c r="F38" s="25">
        <f t="shared" si="2"/>
        <v>1701.4168154588356</v>
      </c>
      <c r="G38" s="26">
        <f t="shared" si="3"/>
        <v>85.070840772941779</v>
      </c>
      <c r="H38" s="26">
        <f t="shared" si="0"/>
        <v>1786.4876562317772</v>
      </c>
    </row>
    <row r="39" spans="1:12" customFormat="1" x14ac:dyDescent="0.25">
      <c r="A39" s="20" t="s">
        <v>79</v>
      </c>
      <c r="B39" s="21" t="s">
        <v>153</v>
      </c>
      <c r="C39" s="22" t="s">
        <v>154</v>
      </c>
      <c r="D39" s="23">
        <v>4415</v>
      </c>
      <c r="E39" s="24">
        <f t="shared" si="1"/>
        <v>1.3863404612271502E-2</v>
      </c>
      <c r="F39" s="25">
        <f t="shared" si="2"/>
        <v>1684.2500538678833</v>
      </c>
      <c r="G39" s="26">
        <f t="shared" si="3"/>
        <v>84.212502693394171</v>
      </c>
      <c r="H39" s="26">
        <f t="shared" si="0"/>
        <v>1768.4625565612773</v>
      </c>
    </row>
    <row r="40" spans="1:12" customFormat="1" x14ac:dyDescent="0.25">
      <c r="A40" s="20" t="s">
        <v>81</v>
      </c>
      <c r="B40" s="21" t="s">
        <v>82</v>
      </c>
      <c r="C40" s="22" t="s">
        <v>83</v>
      </c>
      <c r="D40" s="23">
        <v>8673</v>
      </c>
      <c r="E40" s="24">
        <f t="shared" si="1"/>
        <v>2.7233818392351242E-2</v>
      </c>
      <c r="F40" s="25">
        <f t="shared" si="2"/>
        <v>3308.607183962888</v>
      </c>
      <c r="G40" s="26">
        <f t="shared" si="3"/>
        <v>165.4303591981444</v>
      </c>
      <c r="H40" s="26">
        <f t="shared" si="0"/>
        <v>3474.0375431610323</v>
      </c>
    </row>
    <row r="41" spans="1:12" customFormat="1" x14ac:dyDescent="0.25">
      <c r="A41" s="20" t="s">
        <v>84</v>
      </c>
      <c r="B41" s="21" t="s">
        <v>155</v>
      </c>
      <c r="C41" s="22" t="s">
        <v>86</v>
      </c>
      <c r="D41" s="23">
        <v>9239</v>
      </c>
      <c r="E41" s="24">
        <f t="shared" si="1"/>
        <v>2.9011097443437463E-2</v>
      </c>
      <c r="F41" s="25">
        <f t="shared" si="2"/>
        <v>3524.5268964179782</v>
      </c>
      <c r="G41" s="26">
        <f t="shared" si="3"/>
        <v>176.22634482089893</v>
      </c>
      <c r="H41" s="26">
        <f t="shared" si="0"/>
        <v>3700.7532412388773</v>
      </c>
    </row>
    <row r="42" spans="1:12" customFormat="1" x14ac:dyDescent="0.25">
      <c r="A42" s="20" t="s">
        <v>87</v>
      </c>
      <c r="B42" s="21" t="s">
        <v>88</v>
      </c>
      <c r="C42" s="22" t="s">
        <v>89</v>
      </c>
      <c r="D42" s="23">
        <v>4892</v>
      </c>
      <c r="E42" s="24">
        <f t="shared" si="1"/>
        <v>1.5361217522815896E-2</v>
      </c>
      <c r="F42" s="25">
        <f t="shared" si="2"/>
        <v>1866.2177267319785</v>
      </c>
      <c r="G42" s="26">
        <f t="shared" si="3"/>
        <v>93.310886336598927</v>
      </c>
      <c r="H42" s="26">
        <f t="shared" si="0"/>
        <v>1959.5286130685774</v>
      </c>
    </row>
    <row r="43" spans="1:12" customFormat="1" x14ac:dyDescent="0.25">
      <c r="A43" s="20" t="s">
        <v>90</v>
      </c>
      <c r="B43" s="21" t="s">
        <v>91</v>
      </c>
      <c r="C43" s="22">
        <v>41497649000147</v>
      </c>
      <c r="D43" s="23">
        <v>2526</v>
      </c>
      <c r="E43" s="24">
        <f t="shared" si="1"/>
        <v>7.9318142809961072E-3</v>
      </c>
      <c r="F43" s="25">
        <f t="shared" si="2"/>
        <v>963.62755063879342</v>
      </c>
      <c r="G43" s="26">
        <f t="shared" si="3"/>
        <v>48.181377531939674</v>
      </c>
      <c r="H43" s="26">
        <f t="shared" si="0"/>
        <v>1011.8089281707331</v>
      </c>
    </row>
    <row r="44" spans="1:12" customFormat="1" x14ac:dyDescent="0.25">
      <c r="A44" s="20" t="s">
        <v>92</v>
      </c>
      <c r="B44" s="21" t="s">
        <v>93</v>
      </c>
      <c r="C44" s="22">
        <v>40580071000125</v>
      </c>
      <c r="D44" s="23">
        <v>3600</v>
      </c>
      <c r="E44" s="24">
        <f t="shared" si="1"/>
        <v>1.1304248381467137E-2</v>
      </c>
      <c r="F44" s="25">
        <f t="shared" si="2"/>
        <v>1373.3409272761903</v>
      </c>
      <c r="G44" s="26">
        <f t="shared" si="3"/>
        <v>68.667046363809519</v>
      </c>
      <c r="H44" s="26">
        <f t="shared" si="0"/>
        <v>1442.0079736399998</v>
      </c>
      <c r="I44" s="32" t="s">
        <v>63</v>
      </c>
      <c r="L44" t="s">
        <v>94</v>
      </c>
    </row>
    <row r="45" spans="1:12" customFormat="1" x14ac:dyDescent="0.25">
      <c r="A45" s="20" t="s">
        <v>95</v>
      </c>
      <c r="B45" s="21" t="s">
        <v>96</v>
      </c>
      <c r="C45" s="22" t="s">
        <v>97</v>
      </c>
      <c r="D45" s="23">
        <v>3938</v>
      </c>
      <c r="E45" s="24">
        <f t="shared" si="1"/>
        <v>1.2365591701727106E-2</v>
      </c>
      <c r="F45" s="25">
        <f t="shared" si="2"/>
        <v>1502.282381003788</v>
      </c>
      <c r="G45" s="26">
        <f t="shared" si="3"/>
        <v>75.114119050189402</v>
      </c>
      <c r="H45" s="26">
        <f t="shared" si="0"/>
        <v>1577.3965000539774</v>
      </c>
    </row>
    <row r="46" spans="1:12" customFormat="1" x14ac:dyDescent="0.25">
      <c r="A46" s="20" t="s">
        <v>98</v>
      </c>
      <c r="B46" s="21" t="s">
        <v>167</v>
      </c>
      <c r="C46" s="22" t="s">
        <v>168</v>
      </c>
      <c r="D46" s="23">
        <v>3707</v>
      </c>
      <c r="E46" s="24">
        <f t="shared" si="1"/>
        <v>1.1640235763916299E-2</v>
      </c>
      <c r="F46" s="25">
        <f t="shared" si="2"/>
        <v>1414.159671503566</v>
      </c>
      <c r="G46" s="26">
        <f t="shared" si="3"/>
        <v>70.707983575178304</v>
      </c>
      <c r="H46" s="26">
        <f t="shared" si="0"/>
        <v>1484.8676550787443</v>
      </c>
    </row>
    <row r="47" spans="1:12" customFormat="1" x14ac:dyDescent="0.25">
      <c r="A47" s="20" t="s">
        <v>100</v>
      </c>
      <c r="B47" s="21" t="s">
        <v>101</v>
      </c>
      <c r="C47" s="22">
        <v>42109766000159</v>
      </c>
      <c r="D47" s="23">
        <v>5117</v>
      </c>
      <c r="E47" s="24">
        <f t="shared" si="1"/>
        <v>1.6067733046657592E-2</v>
      </c>
      <c r="F47" s="25">
        <f t="shared" si="2"/>
        <v>1952.0515346867401</v>
      </c>
      <c r="G47" s="26">
        <f t="shared" si="3"/>
        <v>97.602576734337006</v>
      </c>
      <c r="H47" s="26">
        <f t="shared" si="0"/>
        <v>2049.6541114210772</v>
      </c>
    </row>
    <row r="48" spans="1:12" customFormat="1" x14ac:dyDescent="0.25">
      <c r="A48" s="20" t="s">
        <v>102</v>
      </c>
      <c r="B48" s="21" t="s">
        <v>99</v>
      </c>
      <c r="C48" s="22">
        <v>18788190000119</v>
      </c>
      <c r="D48" s="23">
        <v>14717</v>
      </c>
      <c r="E48" s="24">
        <f t="shared" si="1"/>
        <v>4.6212395397236622E-2</v>
      </c>
      <c r="F48" s="25">
        <f t="shared" si="2"/>
        <v>5614.2940074232474</v>
      </c>
      <c r="G48" s="26">
        <f t="shared" si="3"/>
        <v>280.71470037116239</v>
      </c>
      <c r="H48" s="26">
        <f t="shared" si="0"/>
        <v>5895.0087077944099</v>
      </c>
    </row>
    <row r="49" spans="1:10" customFormat="1" ht="13.5" customHeight="1" x14ac:dyDescent="0.25">
      <c r="A49" s="20" t="s">
        <v>103</v>
      </c>
      <c r="B49" s="21" t="s">
        <v>104</v>
      </c>
      <c r="C49" s="22">
        <v>32302613000170</v>
      </c>
      <c r="D49" s="23">
        <v>5439</v>
      </c>
      <c r="E49" s="24">
        <f t="shared" si="1"/>
        <v>1.7078835262999931E-2</v>
      </c>
      <c r="F49" s="25">
        <f t="shared" si="2"/>
        <v>2074.8892509597772</v>
      </c>
      <c r="G49" s="26">
        <f t="shared" si="3"/>
        <v>103.74446254798886</v>
      </c>
      <c r="H49" s="26">
        <f t="shared" si="0"/>
        <v>2178.6337135077661</v>
      </c>
    </row>
    <row r="50" spans="1:10" customFormat="1" x14ac:dyDescent="0.25">
      <c r="A50" s="20" t="s">
        <v>105</v>
      </c>
      <c r="B50" s="21" t="s">
        <v>106</v>
      </c>
      <c r="C50" s="22">
        <v>28616552000148</v>
      </c>
      <c r="D50" s="23">
        <v>4123.71</v>
      </c>
      <c r="E50" s="24">
        <f t="shared" si="1"/>
        <v>1.2948733914761068E-2</v>
      </c>
      <c r="F50" s="25">
        <f t="shared" si="2"/>
        <v>1573.1276986716939</v>
      </c>
      <c r="G50" s="26">
        <f t="shared" si="3"/>
        <v>78.656384933584704</v>
      </c>
      <c r="H50" s="26">
        <f t="shared" si="0"/>
        <v>1651.7840836052785</v>
      </c>
    </row>
    <row r="51" spans="1:10" customFormat="1" x14ac:dyDescent="0.25">
      <c r="A51" s="20" t="s">
        <v>107</v>
      </c>
      <c r="B51" s="21" t="s">
        <v>108</v>
      </c>
      <c r="C51" s="22">
        <v>42579914000107</v>
      </c>
      <c r="D51" s="23">
        <v>4986.3599999999997</v>
      </c>
      <c r="E51" s="24">
        <f t="shared" si="1"/>
        <v>1.5657514433170129E-2</v>
      </c>
      <c r="F51" s="25">
        <f t="shared" si="2"/>
        <v>1902.214518370251</v>
      </c>
      <c r="G51" s="26">
        <f t="shared" si="3"/>
        <v>95.110725918512557</v>
      </c>
      <c r="H51" s="26">
        <f t="shared" si="0"/>
        <v>1997.3252442887635</v>
      </c>
    </row>
    <row r="52" spans="1:10" customFormat="1" x14ac:dyDescent="0.25">
      <c r="A52" s="20" t="s">
        <v>109</v>
      </c>
      <c r="B52" s="21" t="s">
        <v>110</v>
      </c>
      <c r="C52" s="22" t="s">
        <v>111</v>
      </c>
      <c r="D52" s="23">
        <v>7462</v>
      </c>
      <c r="E52" s="24">
        <f t="shared" si="1"/>
        <v>2.343119483958549E-2</v>
      </c>
      <c r="F52" s="25">
        <f t="shared" si="2"/>
        <v>2846.6305553708139</v>
      </c>
      <c r="G52" s="26">
        <f t="shared" si="3"/>
        <v>142.3315277685407</v>
      </c>
      <c r="H52" s="26">
        <f t="shared" si="0"/>
        <v>2988.9620831393545</v>
      </c>
      <c r="J52" s="44"/>
    </row>
    <row r="53" spans="1:10" customFormat="1" x14ac:dyDescent="0.25">
      <c r="A53" s="20" t="s">
        <v>112</v>
      </c>
      <c r="B53" s="21" t="s">
        <v>113</v>
      </c>
      <c r="C53" s="22" t="s">
        <v>114</v>
      </c>
      <c r="D53" s="23">
        <v>5525</v>
      </c>
      <c r="E53" s="24">
        <f t="shared" si="1"/>
        <v>1.7348881196557201E-2</v>
      </c>
      <c r="F53" s="25">
        <f t="shared" si="2"/>
        <v>2107.696839778042</v>
      </c>
      <c r="G53" s="26">
        <f t="shared" si="3"/>
        <v>105.38484198890211</v>
      </c>
      <c r="H53" s="26">
        <f t="shared" si="0"/>
        <v>2213.0816817669443</v>
      </c>
    </row>
    <row r="54" spans="1:10" customFormat="1" x14ac:dyDescent="0.25">
      <c r="A54" s="20" t="s">
        <v>186</v>
      </c>
      <c r="B54" s="21" t="s">
        <v>187</v>
      </c>
      <c r="C54" s="22" t="s">
        <v>188</v>
      </c>
      <c r="D54" s="23">
        <v>6188.23</v>
      </c>
      <c r="E54" s="24">
        <f t="shared" si="1"/>
        <v>1.943146915601288E-2</v>
      </c>
      <c r="F54" s="25">
        <f t="shared" si="2"/>
        <v>2360.7082017773159</v>
      </c>
      <c r="G54" s="26">
        <f>F54*5%</f>
        <v>118.0354100888658</v>
      </c>
      <c r="H54" s="26">
        <f>F54+G54</f>
        <v>2478.7436118661817</v>
      </c>
    </row>
    <row r="55" spans="1:10" customFormat="1" x14ac:dyDescent="0.25">
      <c r="A55" s="20" t="s">
        <v>115</v>
      </c>
      <c r="B55" s="21" t="s">
        <v>116</v>
      </c>
      <c r="C55" s="22">
        <v>26480299000112</v>
      </c>
      <c r="D55" s="23"/>
      <c r="E55" s="24">
        <f t="shared" si="1"/>
        <v>0</v>
      </c>
      <c r="F55" s="25">
        <f t="shared" si="2"/>
        <v>0</v>
      </c>
      <c r="G55" s="26">
        <f t="shared" si="3"/>
        <v>0</v>
      </c>
      <c r="H55" s="26">
        <f t="shared" si="0"/>
        <v>0</v>
      </c>
    </row>
    <row r="56" spans="1:10" customFormat="1" x14ac:dyDescent="0.25">
      <c r="A56" s="20" t="s">
        <v>179</v>
      </c>
      <c r="B56" s="21" t="s">
        <v>180</v>
      </c>
      <c r="C56" s="22" t="s">
        <v>181</v>
      </c>
      <c r="D56" s="23">
        <v>11302</v>
      </c>
      <c r="E56" s="24">
        <f t="shared" si="1"/>
        <v>3.5489059779817103E-2</v>
      </c>
      <c r="F56" s="25">
        <f t="shared" si="2"/>
        <v>4311.5275444654171</v>
      </c>
      <c r="G56" s="26">
        <f t="shared" si="3"/>
        <v>215.57637722327087</v>
      </c>
      <c r="H56" s="26">
        <f t="shared" si="0"/>
        <v>4527.1039216886884</v>
      </c>
    </row>
    <row r="57" spans="1:10" customFormat="1" x14ac:dyDescent="0.25">
      <c r="A57" s="20" t="s">
        <v>117</v>
      </c>
      <c r="B57" s="21" t="s">
        <v>118</v>
      </c>
      <c r="C57" s="22" t="s">
        <v>119</v>
      </c>
      <c r="D57" s="23">
        <v>4943</v>
      </c>
      <c r="E57" s="24">
        <f t="shared" si="1"/>
        <v>1.5521361041553348E-2</v>
      </c>
      <c r="F57" s="25">
        <f t="shared" si="2"/>
        <v>1885.6733898683913</v>
      </c>
      <c r="G57" s="26">
        <f t="shared" si="3"/>
        <v>94.283669493419566</v>
      </c>
      <c r="H57" s="26">
        <f t="shared" si="0"/>
        <v>1979.9570593618109</v>
      </c>
    </row>
    <row r="58" spans="1:10" customFormat="1" x14ac:dyDescent="0.25">
      <c r="A58" s="20" t="s">
        <v>120</v>
      </c>
      <c r="B58" s="21" t="s">
        <v>121</v>
      </c>
      <c r="C58" s="22">
        <v>12997366000166</v>
      </c>
      <c r="D58" s="23">
        <v>5160</v>
      </c>
      <c r="E58" s="24">
        <f t="shared" si="1"/>
        <v>1.620275601343623E-2</v>
      </c>
      <c r="F58" s="25">
        <f t="shared" si="2"/>
        <v>1968.4553290958729</v>
      </c>
      <c r="G58" s="26">
        <f t="shared" si="3"/>
        <v>98.422766454793646</v>
      </c>
      <c r="H58" s="26">
        <f t="shared" si="0"/>
        <v>2066.8780955506663</v>
      </c>
    </row>
    <row r="59" spans="1:10" customFormat="1" ht="16.5" customHeight="1" x14ac:dyDescent="0.25">
      <c r="A59" s="20" t="s">
        <v>122</v>
      </c>
      <c r="B59" s="21" t="s">
        <v>123</v>
      </c>
      <c r="C59" s="22" t="s">
        <v>124</v>
      </c>
      <c r="D59" s="23">
        <v>6586</v>
      </c>
      <c r="E59" s="24">
        <f t="shared" si="1"/>
        <v>2.0680494400095156E-2</v>
      </c>
      <c r="F59" s="25">
        <f t="shared" si="2"/>
        <v>2512.4509297336081</v>
      </c>
      <c r="G59" s="26">
        <f t="shared" si="3"/>
        <v>125.62254648668041</v>
      </c>
      <c r="H59" s="26">
        <f t="shared" si="0"/>
        <v>2638.0734762202883</v>
      </c>
    </row>
    <row r="60" spans="1:10" customFormat="1" x14ac:dyDescent="0.25">
      <c r="A60" s="20" t="s">
        <v>125</v>
      </c>
      <c r="B60" s="86" t="s">
        <v>126</v>
      </c>
      <c r="C60" s="22">
        <v>11884518000151</v>
      </c>
      <c r="D60" s="23">
        <v>5644</v>
      </c>
      <c r="E60" s="24">
        <f t="shared" si="1"/>
        <v>1.7722549406944586E-2</v>
      </c>
      <c r="F60" s="25">
        <f t="shared" si="2"/>
        <v>2153.0933870963381</v>
      </c>
      <c r="G60" s="26">
        <f t="shared" si="3"/>
        <v>107.65466935481692</v>
      </c>
      <c r="H60" s="26">
        <f t="shared" si="0"/>
        <v>2260.7480564511552</v>
      </c>
    </row>
    <row r="61" spans="1:10" s="63" customFormat="1" x14ac:dyDescent="0.25">
      <c r="A61" s="56" t="s">
        <v>147</v>
      </c>
      <c r="B61" s="57" t="s">
        <v>148</v>
      </c>
      <c r="C61" s="58">
        <v>41142377000162</v>
      </c>
      <c r="D61" s="59">
        <v>1134.82</v>
      </c>
      <c r="E61" s="60">
        <f t="shared" si="1"/>
        <v>3.5634130967379263E-3</v>
      </c>
      <c r="F61" s="61">
        <f t="shared" si="2"/>
        <v>432.91520863654614</v>
      </c>
      <c r="G61" s="62">
        <f t="shared" si="3"/>
        <v>21.645760431827309</v>
      </c>
      <c r="H61" s="62">
        <f t="shared" si="0"/>
        <v>454.56096906837342</v>
      </c>
    </row>
    <row r="62" spans="1:10" customFormat="1" x14ac:dyDescent="0.25">
      <c r="A62" s="20" t="s">
        <v>127</v>
      </c>
      <c r="B62" s="86" t="s">
        <v>128</v>
      </c>
      <c r="C62" s="22">
        <v>36188051000136</v>
      </c>
      <c r="D62" s="23">
        <v>6936</v>
      </c>
      <c r="E62" s="24">
        <f t="shared" si="1"/>
        <v>2.1779518548293349E-2</v>
      </c>
      <c r="F62" s="25">
        <f t="shared" si="2"/>
        <v>2645.9701865521265</v>
      </c>
      <c r="G62" s="26">
        <f t="shared" si="3"/>
        <v>132.29850932760633</v>
      </c>
      <c r="H62" s="26">
        <f t="shared" si="0"/>
        <v>2778.2686958797331</v>
      </c>
    </row>
    <row r="63" spans="1:10" customFormat="1" x14ac:dyDescent="0.25">
      <c r="A63" s="20" t="s">
        <v>129</v>
      </c>
      <c r="B63" s="86" t="s">
        <v>130</v>
      </c>
      <c r="C63" s="22" t="s">
        <v>131</v>
      </c>
      <c r="D63" s="23">
        <f>7425*40%</f>
        <v>2970</v>
      </c>
      <c r="E63" s="24">
        <f t="shared" si="1"/>
        <v>9.3260049147103879E-3</v>
      </c>
      <c r="F63" s="25">
        <f t="shared" si="2"/>
        <v>1133.0062650028569</v>
      </c>
      <c r="G63" s="26">
        <f t="shared" si="3"/>
        <v>56.650313250142851</v>
      </c>
      <c r="H63" s="26">
        <f t="shared" si="0"/>
        <v>1189.6565782529997</v>
      </c>
    </row>
    <row r="64" spans="1:10" customFormat="1" x14ac:dyDescent="0.25">
      <c r="A64" s="20" t="s">
        <v>132</v>
      </c>
      <c r="B64" s="86" t="s">
        <v>133</v>
      </c>
      <c r="C64" s="22">
        <v>18741082000190</v>
      </c>
      <c r="D64" s="23">
        <v>12183</v>
      </c>
      <c r="E64" s="24">
        <f t="shared" si="1"/>
        <v>3.8255460564281703E-2</v>
      </c>
      <c r="F64" s="25">
        <f t="shared" si="2"/>
        <v>4647.6145880571739</v>
      </c>
      <c r="G64" s="26">
        <f t="shared" si="3"/>
        <v>232.38072940285872</v>
      </c>
      <c r="H64" s="26">
        <f t="shared" si="0"/>
        <v>4879.9953174600323</v>
      </c>
    </row>
    <row r="65" spans="1:8" customFormat="1" x14ac:dyDescent="0.25">
      <c r="A65" s="20" t="s">
        <v>134</v>
      </c>
      <c r="B65" s="86" t="s">
        <v>135</v>
      </c>
      <c r="C65" s="22" t="s">
        <v>136</v>
      </c>
      <c r="D65" s="23">
        <v>4814</v>
      </c>
      <c r="E65" s="24">
        <f t="shared" si="1"/>
        <v>1.5116292141217442E-2</v>
      </c>
      <c r="F65" s="25">
        <f t="shared" si="2"/>
        <v>1836.4620066409943</v>
      </c>
      <c r="G65" s="26">
        <f t="shared" si="3"/>
        <v>91.823100332049719</v>
      </c>
      <c r="H65" s="26">
        <f t="shared" si="0"/>
        <v>1928.2851069730441</v>
      </c>
    </row>
    <row r="66" spans="1:8" customFormat="1" x14ac:dyDescent="0.25">
      <c r="A66" s="20" t="s">
        <v>137</v>
      </c>
      <c r="B66" s="86" t="s">
        <v>138</v>
      </c>
      <c r="C66" s="22" t="s">
        <v>139</v>
      </c>
      <c r="D66" s="23">
        <v>3476.86</v>
      </c>
      <c r="E66" s="24">
        <f t="shared" si="1"/>
        <v>1.0917580285441063E-2</v>
      </c>
      <c r="F66" s="25">
        <f t="shared" si="2"/>
        <v>1326.3650378915263</v>
      </c>
      <c r="G66" s="26">
        <f t="shared" si="3"/>
        <v>66.318251894576321</v>
      </c>
      <c r="H66" s="26">
        <f t="shared" si="0"/>
        <v>1392.6832897861027</v>
      </c>
    </row>
    <row r="67" spans="1:8" customFormat="1" x14ac:dyDescent="0.25">
      <c r="A67" s="20" t="s">
        <v>140</v>
      </c>
      <c r="B67" s="28" t="s">
        <v>141</v>
      </c>
      <c r="C67" s="22">
        <v>11884518000151</v>
      </c>
      <c r="D67" s="23">
        <f>81377.44-14717-3314-9239+4126.33-9403+9177.57</f>
        <v>58008.340000000004</v>
      </c>
      <c r="E67" s="24">
        <f t="shared" si="1"/>
        <v>0.18215018987683204</v>
      </c>
      <c r="F67" s="25">
        <f t="shared" si="2"/>
        <v>22129.229845931255</v>
      </c>
      <c r="G67" s="26">
        <f t="shared" si="3"/>
        <v>1106.4614922965627</v>
      </c>
      <c r="H67" s="26">
        <f t="shared" si="0"/>
        <v>23235.691338227818</v>
      </c>
    </row>
    <row r="68" spans="1:8" customFormat="1" x14ac:dyDescent="0.25">
      <c r="A68" s="34"/>
      <c r="B68" s="35"/>
      <c r="C68" s="36" t="s">
        <v>142</v>
      </c>
      <c r="D68" s="37">
        <f>SUM(D23:D67)</f>
        <v>318464.34000000003</v>
      </c>
      <c r="E68" s="38">
        <f>SUM(E23:E67)</f>
        <v>0.99999999999999978</v>
      </c>
      <c r="F68" s="98">
        <f>SUM(F23:F67)</f>
        <v>121488.91999999995</v>
      </c>
      <c r="G68" s="98">
        <f>SUM(G23:G67)</f>
        <v>6074.445999999999</v>
      </c>
      <c r="H68" s="99">
        <f>SUM(H23:H67)</f>
        <v>127563.36599999997</v>
      </c>
    </row>
    <row r="69" spans="1:8" customFormat="1" x14ac:dyDescent="0.25">
      <c r="D69" s="44"/>
      <c r="F69" s="41"/>
    </row>
    <row r="70" spans="1:8" customFormat="1" x14ac:dyDescent="0.25">
      <c r="F70" s="41"/>
    </row>
    <row r="71" spans="1:8" customFormat="1" x14ac:dyDescent="0.25">
      <c r="D71" s="44"/>
      <c r="E71" s="41"/>
      <c r="H71" s="42"/>
    </row>
    <row r="72" spans="1:8" customFormat="1" x14ac:dyDescent="0.25">
      <c r="E72" s="41"/>
    </row>
    <row r="73" spans="1:8" customFormat="1" x14ac:dyDescent="0.25"/>
    <row r="74" spans="1:8" customFormat="1" x14ac:dyDescent="0.25"/>
    <row r="75" spans="1:8" customFormat="1" x14ac:dyDescent="0.25"/>
    <row r="76" spans="1:8" customFormat="1" x14ac:dyDescent="0.25"/>
    <row r="77" spans="1:8" customFormat="1" x14ac:dyDescent="0.25"/>
    <row r="78" spans="1:8" customFormat="1" x14ac:dyDescent="0.25"/>
    <row r="79" spans="1:8" customFormat="1" x14ac:dyDescent="0.25"/>
    <row r="80" spans="1:8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spans="1:8" customFormat="1" x14ac:dyDescent="0.25"/>
    <row r="146" spans="1:8" customFormat="1" x14ac:dyDescent="0.25"/>
    <row r="147" spans="1:8" customFormat="1" x14ac:dyDescent="0.25"/>
    <row r="148" spans="1:8" customFormat="1" x14ac:dyDescent="0.25"/>
    <row r="149" spans="1:8" customFormat="1" x14ac:dyDescent="0.25"/>
    <row r="150" spans="1:8" customFormat="1" x14ac:dyDescent="0.25"/>
    <row r="151" spans="1:8" customFormat="1" x14ac:dyDescent="0.25"/>
    <row r="152" spans="1:8" customFormat="1" x14ac:dyDescent="0.25">
      <c r="A152" s="100"/>
      <c r="B152" s="100"/>
      <c r="C152" s="100"/>
      <c r="D152" s="100"/>
      <c r="E152" s="100"/>
    </row>
    <row r="153" spans="1:8" x14ac:dyDescent="0.25">
      <c r="F153"/>
      <c r="G153"/>
      <c r="H153"/>
    </row>
    <row r="154" spans="1:8" x14ac:dyDescent="0.25">
      <c r="F154"/>
      <c r="G154"/>
      <c r="H154"/>
    </row>
    <row r="155" spans="1:8" x14ac:dyDescent="0.25">
      <c r="F155"/>
      <c r="G155"/>
      <c r="H155"/>
    </row>
    <row r="156" spans="1:8" x14ac:dyDescent="0.25">
      <c r="F156"/>
      <c r="G156"/>
      <c r="H156"/>
    </row>
    <row r="157" spans="1:8" x14ac:dyDescent="0.25">
      <c r="F157"/>
      <c r="G157"/>
      <c r="H157"/>
    </row>
    <row r="158" spans="1:8" x14ac:dyDescent="0.25">
      <c r="F158"/>
      <c r="G158"/>
      <c r="H158"/>
    </row>
    <row r="159" spans="1:8" x14ac:dyDescent="0.25">
      <c r="F159"/>
      <c r="G159"/>
      <c r="H159"/>
    </row>
    <row r="160" spans="1:8" x14ac:dyDescent="0.25">
      <c r="F160"/>
      <c r="G160"/>
      <c r="H160"/>
    </row>
    <row r="161" spans="6:8" x14ac:dyDescent="0.25">
      <c r="F161"/>
      <c r="G161"/>
      <c r="H161"/>
    </row>
    <row r="162" spans="6:8" x14ac:dyDescent="0.25">
      <c r="F162"/>
      <c r="G162"/>
      <c r="H162"/>
    </row>
    <row r="163" spans="6:8" x14ac:dyDescent="0.25">
      <c r="F163"/>
      <c r="G163"/>
      <c r="H163"/>
    </row>
    <row r="164" spans="6:8" x14ac:dyDescent="0.25">
      <c r="F164"/>
      <c r="G164"/>
      <c r="H164"/>
    </row>
    <row r="165" spans="6:8" x14ac:dyDescent="0.25">
      <c r="F165"/>
      <c r="G165"/>
      <c r="H165"/>
    </row>
    <row r="166" spans="6:8" x14ac:dyDescent="0.25">
      <c r="F166"/>
      <c r="G166"/>
      <c r="H166"/>
    </row>
    <row r="167" spans="6:8" x14ac:dyDescent="0.25">
      <c r="F167"/>
      <c r="G167"/>
      <c r="H167"/>
    </row>
    <row r="168" spans="6:8" x14ac:dyDescent="0.25">
      <c r="F168"/>
      <c r="G168"/>
      <c r="H168"/>
    </row>
    <row r="169" spans="6:8" x14ac:dyDescent="0.25">
      <c r="F169"/>
      <c r="G169"/>
      <c r="H169"/>
    </row>
    <row r="170" spans="6:8" x14ac:dyDescent="0.25">
      <c r="F170"/>
      <c r="G170"/>
      <c r="H170"/>
    </row>
    <row r="171" spans="6:8" x14ac:dyDescent="0.25">
      <c r="F171"/>
      <c r="G171"/>
      <c r="H171"/>
    </row>
    <row r="172" spans="6:8" x14ac:dyDescent="0.25">
      <c r="F172"/>
      <c r="G172"/>
      <c r="H172"/>
    </row>
    <row r="173" spans="6:8" x14ac:dyDescent="0.25">
      <c r="F173"/>
      <c r="G173"/>
      <c r="H173"/>
    </row>
    <row r="174" spans="6:8" x14ac:dyDescent="0.25">
      <c r="F174"/>
      <c r="G174"/>
      <c r="H174"/>
    </row>
    <row r="175" spans="6:8" x14ac:dyDescent="0.25">
      <c r="F175"/>
      <c r="G175"/>
      <c r="H175"/>
    </row>
    <row r="176" spans="6:8" x14ac:dyDescent="0.25">
      <c r="F176"/>
      <c r="G176"/>
      <c r="H176"/>
    </row>
    <row r="177" spans="6:8" x14ac:dyDescent="0.25">
      <c r="F177"/>
      <c r="G177"/>
      <c r="H177"/>
    </row>
    <row r="178" spans="6:8" x14ac:dyDescent="0.25">
      <c r="F178"/>
      <c r="G178"/>
      <c r="H178"/>
    </row>
    <row r="179" spans="6:8" x14ac:dyDescent="0.25">
      <c r="F179"/>
      <c r="G179"/>
      <c r="H179"/>
    </row>
    <row r="180" spans="6:8" x14ac:dyDescent="0.25">
      <c r="F180"/>
      <c r="G180"/>
      <c r="H180"/>
    </row>
    <row r="181" spans="6:8" x14ac:dyDescent="0.25">
      <c r="F181"/>
      <c r="G181"/>
      <c r="H181"/>
    </row>
    <row r="182" spans="6:8" x14ac:dyDescent="0.25">
      <c r="F182"/>
      <c r="G182"/>
      <c r="H182"/>
    </row>
    <row r="183" spans="6:8" x14ac:dyDescent="0.25">
      <c r="F183"/>
      <c r="G183"/>
      <c r="H183"/>
    </row>
    <row r="184" spans="6:8" x14ac:dyDescent="0.25">
      <c r="F184"/>
      <c r="G184"/>
      <c r="H184"/>
    </row>
    <row r="185" spans="6:8" x14ac:dyDescent="0.25">
      <c r="F185"/>
      <c r="G185"/>
      <c r="H185"/>
    </row>
    <row r="186" spans="6:8" x14ac:dyDescent="0.25">
      <c r="F186"/>
      <c r="G186"/>
      <c r="H186"/>
    </row>
    <row r="187" spans="6:8" x14ac:dyDescent="0.25">
      <c r="F187"/>
      <c r="G187"/>
      <c r="H187"/>
    </row>
    <row r="188" spans="6:8" x14ac:dyDescent="0.25">
      <c r="F188"/>
      <c r="G188"/>
      <c r="H188"/>
    </row>
    <row r="189" spans="6:8" x14ac:dyDescent="0.25">
      <c r="F189"/>
      <c r="G189"/>
      <c r="H189"/>
    </row>
    <row r="190" spans="6:8" x14ac:dyDescent="0.25">
      <c r="F190"/>
      <c r="G190"/>
      <c r="H190"/>
    </row>
    <row r="191" spans="6:8" x14ac:dyDescent="0.25">
      <c r="F191"/>
      <c r="G191"/>
      <c r="H191"/>
    </row>
    <row r="192" spans="6:8" x14ac:dyDescent="0.25">
      <c r="F192"/>
      <c r="G192"/>
      <c r="H192"/>
    </row>
    <row r="193" spans="6:8" x14ac:dyDescent="0.25">
      <c r="F193"/>
      <c r="G193"/>
      <c r="H193"/>
    </row>
    <row r="194" spans="6:8" x14ac:dyDescent="0.25">
      <c r="F194"/>
      <c r="G194"/>
      <c r="H194"/>
    </row>
    <row r="195" spans="6:8" x14ac:dyDescent="0.25">
      <c r="F195"/>
      <c r="G195"/>
      <c r="H195"/>
    </row>
    <row r="196" spans="6:8" x14ac:dyDescent="0.25">
      <c r="F196"/>
      <c r="G196"/>
      <c r="H196"/>
    </row>
    <row r="197" spans="6:8" x14ac:dyDescent="0.25">
      <c r="F197"/>
      <c r="G197"/>
      <c r="H197"/>
    </row>
    <row r="198" spans="6:8" x14ac:dyDescent="0.25">
      <c r="F198"/>
      <c r="G198"/>
      <c r="H198"/>
    </row>
    <row r="199" spans="6:8" x14ac:dyDescent="0.25">
      <c r="F199"/>
      <c r="G199"/>
      <c r="H199"/>
    </row>
    <row r="200" spans="6:8" x14ac:dyDescent="0.25">
      <c r="F200"/>
      <c r="G200"/>
      <c r="H200"/>
    </row>
    <row r="201" spans="6:8" x14ac:dyDescent="0.25">
      <c r="F201"/>
      <c r="G201"/>
      <c r="H201"/>
    </row>
    <row r="202" spans="6:8" x14ac:dyDescent="0.25">
      <c r="F202"/>
      <c r="G202"/>
      <c r="H202"/>
    </row>
    <row r="203" spans="6:8" x14ac:dyDescent="0.25">
      <c r="F203"/>
      <c r="G203"/>
      <c r="H203"/>
    </row>
    <row r="204" spans="6:8" x14ac:dyDescent="0.25">
      <c r="F204"/>
      <c r="G204"/>
      <c r="H204"/>
    </row>
    <row r="205" spans="6:8" x14ac:dyDescent="0.25">
      <c r="F205"/>
      <c r="G205"/>
      <c r="H205"/>
    </row>
    <row r="206" spans="6:8" x14ac:dyDescent="0.25">
      <c r="F206"/>
      <c r="G206"/>
      <c r="H206"/>
    </row>
    <row r="207" spans="6:8" x14ac:dyDescent="0.25">
      <c r="F207"/>
      <c r="G207"/>
      <c r="H207"/>
    </row>
    <row r="208" spans="6:8" x14ac:dyDescent="0.25">
      <c r="F208"/>
      <c r="G208"/>
      <c r="H208"/>
    </row>
    <row r="209" spans="6:8" x14ac:dyDescent="0.25">
      <c r="F209"/>
      <c r="G209"/>
      <c r="H209"/>
    </row>
    <row r="210" spans="6:8" x14ac:dyDescent="0.25">
      <c r="F210"/>
      <c r="G210"/>
      <c r="H210"/>
    </row>
    <row r="211" spans="6:8" x14ac:dyDescent="0.25">
      <c r="F211"/>
      <c r="G211"/>
      <c r="H211"/>
    </row>
    <row r="212" spans="6:8" x14ac:dyDescent="0.25">
      <c r="F212"/>
      <c r="G212"/>
      <c r="H212"/>
    </row>
    <row r="213" spans="6:8" x14ac:dyDescent="0.25">
      <c r="F213"/>
      <c r="G213"/>
      <c r="H213"/>
    </row>
    <row r="214" spans="6:8" x14ac:dyDescent="0.25">
      <c r="F214"/>
      <c r="G214"/>
      <c r="H214"/>
    </row>
    <row r="215" spans="6:8" x14ac:dyDescent="0.25">
      <c r="F215"/>
      <c r="G215"/>
      <c r="H215"/>
    </row>
    <row r="216" spans="6:8" x14ac:dyDescent="0.25">
      <c r="F216"/>
      <c r="G216"/>
      <c r="H216"/>
    </row>
    <row r="217" spans="6:8" x14ac:dyDescent="0.25">
      <c r="F217"/>
      <c r="G217"/>
      <c r="H217"/>
    </row>
    <row r="218" spans="6:8" x14ac:dyDescent="0.25">
      <c r="F218"/>
      <c r="G218"/>
      <c r="H218"/>
    </row>
    <row r="219" spans="6:8" x14ac:dyDescent="0.25">
      <c r="F219"/>
      <c r="G219"/>
      <c r="H219"/>
    </row>
    <row r="220" spans="6:8" x14ac:dyDescent="0.25">
      <c r="F220"/>
      <c r="G220"/>
      <c r="H220"/>
    </row>
    <row r="221" spans="6:8" x14ac:dyDescent="0.25">
      <c r="F221"/>
      <c r="G221"/>
      <c r="H221"/>
    </row>
    <row r="222" spans="6:8" x14ac:dyDescent="0.25">
      <c r="F222"/>
      <c r="G222"/>
      <c r="H222"/>
    </row>
    <row r="223" spans="6:8" x14ac:dyDescent="0.25">
      <c r="F223"/>
      <c r="G223"/>
      <c r="H223"/>
    </row>
    <row r="224" spans="6:8" x14ac:dyDescent="0.25">
      <c r="F224"/>
      <c r="G224"/>
      <c r="H224"/>
    </row>
    <row r="225" spans="6:8" x14ac:dyDescent="0.25">
      <c r="F225"/>
      <c r="G225"/>
      <c r="H225"/>
    </row>
    <row r="226" spans="6:8" x14ac:dyDescent="0.25">
      <c r="F226"/>
      <c r="G226"/>
      <c r="H226"/>
    </row>
    <row r="227" spans="6:8" x14ac:dyDescent="0.25">
      <c r="F227"/>
      <c r="G227"/>
      <c r="H227"/>
    </row>
    <row r="228" spans="6:8" x14ac:dyDescent="0.25">
      <c r="F228"/>
      <c r="G228"/>
      <c r="H228"/>
    </row>
    <row r="229" spans="6:8" x14ac:dyDescent="0.25">
      <c r="F229"/>
      <c r="G229"/>
      <c r="H229"/>
    </row>
    <row r="230" spans="6:8" x14ac:dyDescent="0.25">
      <c r="F230"/>
      <c r="G230"/>
      <c r="H230"/>
    </row>
    <row r="231" spans="6:8" x14ac:dyDescent="0.25">
      <c r="F231"/>
      <c r="G231"/>
      <c r="H231"/>
    </row>
    <row r="232" spans="6:8" x14ac:dyDescent="0.25">
      <c r="F232"/>
      <c r="G232"/>
      <c r="H232"/>
    </row>
    <row r="233" spans="6:8" x14ac:dyDescent="0.25">
      <c r="F233"/>
      <c r="G233"/>
      <c r="H233"/>
    </row>
    <row r="234" spans="6:8" x14ac:dyDescent="0.25">
      <c r="G234"/>
      <c r="H234"/>
    </row>
  </sheetData>
  <mergeCells count="1">
    <mergeCell ref="B1:G1"/>
  </mergeCells>
  <pageMargins left="0.511811024" right="0.511811024" top="0.78740157499999996" bottom="0.78740157499999996" header="0.31496062000000002" footer="0.31496062000000002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F69C-AE2D-4213-8B8C-FE31A3656908}">
  <dimension ref="A1:L231"/>
  <sheetViews>
    <sheetView topLeftCell="B41" zoomScale="85" zoomScaleNormal="85" workbookViewId="0">
      <selection activeCell="D64" sqref="D64"/>
    </sheetView>
  </sheetViews>
  <sheetFormatPr defaultColWidth="9.140625" defaultRowHeight="15" x14ac:dyDescent="0.25"/>
  <cols>
    <col min="1" max="1" width="29.5703125" style="100" customWidth="1"/>
    <col min="2" max="2" width="45.28515625" style="100" customWidth="1"/>
    <col min="3" max="3" width="29.7109375" style="100" customWidth="1"/>
    <col min="4" max="4" width="21.42578125" style="100" customWidth="1"/>
    <col min="5" max="5" width="17.42578125" style="100" customWidth="1"/>
    <col min="6" max="6" width="16.42578125" style="100" customWidth="1"/>
    <col min="7" max="7" width="17.140625" style="100" customWidth="1"/>
    <col min="8" max="8" width="16.85546875" style="100" bestFit="1" customWidth="1"/>
    <col min="9" max="9" width="44.140625" style="100" bestFit="1" customWidth="1"/>
    <col min="10" max="10" width="15.42578125" style="100" bestFit="1" customWidth="1"/>
    <col min="11" max="16384" width="9.140625" style="100"/>
  </cols>
  <sheetData>
    <row r="1" spans="1:8" customFormat="1" ht="21.75" customHeight="1" x14ac:dyDescent="0.25">
      <c r="A1" s="87"/>
      <c r="B1" s="118" t="s">
        <v>0</v>
      </c>
      <c r="C1" s="119"/>
      <c r="D1" s="119"/>
      <c r="E1" s="119"/>
      <c r="F1" s="119"/>
      <c r="G1" s="120"/>
      <c r="H1" s="88"/>
    </row>
    <row r="2" spans="1:8" customFormat="1" ht="30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3"/>
      <c r="F2" s="4" t="s">
        <v>5</v>
      </c>
      <c r="G2" s="89"/>
      <c r="H2" s="6"/>
    </row>
    <row r="3" spans="1:8" customFormat="1" ht="30.6" customHeight="1" x14ac:dyDescent="0.25">
      <c r="A3" s="7">
        <v>1</v>
      </c>
      <c r="B3" s="8" t="s">
        <v>6</v>
      </c>
      <c r="C3" s="8"/>
      <c r="D3" s="9">
        <v>45931</v>
      </c>
      <c r="E3" s="9"/>
      <c r="F3" s="10">
        <f>548.46+550+5000</f>
        <v>6098.46</v>
      </c>
      <c r="G3" s="89"/>
      <c r="H3" s="6"/>
    </row>
    <row r="4" spans="1:8" customFormat="1" ht="30.6" customHeight="1" x14ac:dyDescent="0.25">
      <c r="A4" s="7">
        <v>2</v>
      </c>
      <c r="B4" s="8" t="s">
        <v>8</v>
      </c>
      <c r="C4" s="8" t="s">
        <v>9</v>
      </c>
      <c r="D4" s="9">
        <v>45931</v>
      </c>
      <c r="E4" s="9"/>
      <c r="F4" s="10">
        <v>39590</v>
      </c>
      <c r="G4" s="89"/>
      <c r="H4" s="11"/>
    </row>
    <row r="5" spans="1:8" customFormat="1" ht="30.6" customHeight="1" x14ac:dyDescent="0.25">
      <c r="A5" s="7">
        <v>3</v>
      </c>
      <c r="B5" s="8" t="s">
        <v>10</v>
      </c>
      <c r="C5" s="12" t="s">
        <v>11</v>
      </c>
      <c r="D5" s="9">
        <v>45931</v>
      </c>
      <c r="E5" s="9"/>
      <c r="F5" s="10">
        <f>40624.8+ 1114.2</f>
        <v>41739</v>
      </c>
      <c r="G5" s="89"/>
      <c r="H5" s="11"/>
    </row>
    <row r="6" spans="1:8" customFormat="1" ht="30.6" customHeight="1" x14ac:dyDescent="0.25">
      <c r="A6" s="7">
        <v>4</v>
      </c>
      <c r="B6" s="8" t="s">
        <v>189</v>
      </c>
      <c r="C6" s="12" t="s">
        <v>190</v>
      </c>
      <c r="D6" s="9">
        <v>45931</v>
      </c>
      <c r="E6" s="9"/>
      <c r="F6" s="10">
        <f>24000+3600</f>
        <v>27600</v>
      </c>
      <c r="G6" s="89"/>
      <c r="H6" s="11"/>
    </row>
    <row r="7" spans="1:8" customFormat="1" ht="30.6" customHeight="1" x14ac:dyDescent="0.25">
      <c r="A7" s="7">
        <v>5</v>
      </c>
      <c r="B7" s="8" t="s">
        <v>191</v>
      </c>
      <c r="C7" s="8"/>
      <c r="D7" s="9">
        <v>45931</v>
      </c>
      <c r="E7" s="9"/>
      <c r="F7" s="10">
        <v>300</v>
      </c>
      <c r="G7" s="89"/>
      <c r="H7" s="6"/>
    </row>
    <row r="8" spans="1:8" customFormat="1" ht="30.6" customHeight="1" x14ac:dyDescent="0.25">
      <c r="A8" s="7">
        <v>6</v>
      </c>
      <c r="B8" s="8" t="s">
        <v>12</v>
      </c>
      <c r="C8" s="8"/>
      <c r="D8" s="9">
        <v>45931</v>
      </c>
      <c r="E8" s="9"/>
      <c r="F8" s="10">
        <v>474.95</v>
      </c>
      <c r="G8" s="89"/>
      <c r="H8" s="6"/>
    </row>
    <row r="9" spans="1:8" customFormat="1" ht="30.6" customHeight="1" x14ac:dyDescent="0.25">
      <c r="A9" s="7">
        <v>7</v>
      </c>
      <c r="B9" s="8" t="s">
        <v>13</v>
      </c>
      <c r="C9" s="8" t="s">
        <v>14</v>
      </c>
      <c r="D9" s="9">
        <v>45931</v>
      </c>
      <c r="E9" s="9"/>
      <c r="F9" s="13">
        <v>1518</v>
      </c>
      <c r="G9" s="89"/>
      <c r="H9" s="6"/>
    </row>
    <row r="10" spans="1:8" customFormat="1" ht="30.6" customHeight="1" x14ac:dyDescent="0.25">
      <c r="A10" s="7">
        <v>8</v>
      </c>
      <c r="B10" s="8" t="s">
        <v>15</v>
      </c>
      <c r="C10" s="8" t="s">
        <v>16</v>
      </c>
      <c r="D10" s="9">
        <v>45931</v>
      </c>
      <c r="E10" s="9"/>
      <c r="F10" s="13">
        <v>2500</v>
      </c>
      <c r="G10" s="89"/>
      <c r="H10" s="6"/>
    </row>
    <row r="11" spans="1:8" customFormat="1" ht="34.5" customHeight="1" x14ac:dyDescent="0.25">
      <c r="A11" s="7">
        <v>9</v>
      </c>
      <c r="B11" s="14" t="s">
        <v>17</v>
      </c>
      <c r="C11" s="12" t="s">
        <v>18</v>
      </c>
      <c r="D11" s="9">
        <v>45931</v>
      </c>
      <c r="E11" s="9"/>
      <c r="F11" s="13">
        <v>2560</v>
      </c>
      <c r="G11" s="89"/>
      <c r="H11" s="6"/>
    </row>
    <row r="12" spans="1:8" customFormat="1" ht="30.6" customHeight="1" x14ac:dyDescent="0.25">
      <c r="A12" s="7">
        <v>10</v>
      </c>
      <c r="B12" s="14" t="s">
        <v>19</v>
      </c>
      <c r="C12" s="14" t="s">
        <v>20</v>
      </c>
      <c r="D12" s="9">
        <v>45931</v>
      </c>
      <c r="E12" s="9"/>
      <c r="F12" s="13">
        <v>174.36</v>
      </c>
      <c r="G12" s="89"/>
      <c r="H12" s="6"/>
    </row>
    <row r="13" spans="1:8" customFormat="1" ht="30.6" customHeight="1" x14ac:dyDescent="0.25">
      <c r="A13" s="7">
        <v>11</v>
      </c>
      <c r="B13" s="14" t="s">
        <v>149</v>
      </c>
      <c r="C13" s="14" t="s">
        <v>150</v>
      </c>
      <c r="D13" s="9">
        <v>45931</v>
      </c>
      <c r="E13" s="9"/>
      <c r="F13" s="13">
        <v>149.9</v>
      </c>
      <c r="G13" s="89"/>
      <c r="H13" s="6"/>
    </row>
    <row r="14" spans="1:8" customFormat="1" ht="30.6" customHeight="1" x14ac:dyDescent="0.25">
      <c r="A14" s="7">
        <v>12</v>
      </c>
      <c r="B14" s="14" t="s">
        <v>21</v>
      </c>
      <c r="C14" s="12" t="s">
        <v>22</v>
      </c>
      <c r="D14" s="9">
        <v>45931</v>
      </c>
      <c r="E14" s="9"/>
      <c r="F14" s="13">
        <v>385</v>
      </c>
      <c r="G14" s="89"/>
      <c r="H14" s="15"/>
    </row>
    <row r="15" spans="1:8" customFormat="1" ht="30.6" customHeight="1" x14ac:dyDescent="0.25">
      <c r="A15" s="7">
        <v>13</v>
      </c>
      <c r="B15" s="14" t="s">
        <v>23</v>
      </c>
      <c r="C15" s="8"/>
      <c r="D15" s="9">
        <v>45931</v>
      </c>
      <c r="E15" s="9"/>
      <c r="F15" s="13">
        <v>320</v>
      </c>
      <c r="G15" s="89"/>
      <c r="H15" s="6"/>
    </row>
    <row r="16" spans="1:8" customFormat="1" ht="31.5" customHeight="1" x14ac:dyDescent="0.25">
      <c r="A16" s="7">
        <v>14</v>
      </c>
      <c r="B16" s="14" t="s">
        <v>24</v>
      </c>
      <c r="C16" s="12" t="s">
        <v>25</v>
      </c>
      <c r="D16" s="9">
        <v>45931</v>
      </c>
      <c r="E16" s="9"/>
      <c r="F16" s="13">
        <v>257.89999999999998</v>
      </c>
      <c r="G16" s="89"/>
      <c r="H16" s="6"/>
    </row>
    <row r="17" spans="1:12" customFormat="1" ht="31.5" customHeight="1" x14ac:dyDescent="0.25">
      <c r="A17" s="7">
        <v>15</v>
      </c>
      <c r="B17" s="14" t="s">
        <v>171</v>
      </c>
      <c r="C17" s="12" t="s">
        <v>198</v>
      </c>
      <c r="D17" s="9">
        <v>45931</v>
      </c>
      <c r="E17" s="9"/>
      <c r="F17" s="13">
        <v>41.83</v>
      </c>
      <c r="G17" s="89"/>
      <c r="H17" s="6"/>
    </row>
    <row r="18" spans="1:12" customFormat="1" ht="42" customHeight="1" x14ac:dyDescent="0.25">
      <c r="A18" s="90"/>
      <c r="B18" s="91" t="s">
        <v>31</v>
      </c>
      <c r="C18" s="92"/>
      <c r="D18" s="2"/>
      <c r="E18" s="93"/>
      <c r="F18" s="94">
        <f>SUM(F3:F17)</f>
        <v>123709.39999999998</v>
      </c>
      <c r="G18" s="95"/>
      <c r="H18" s="6"/>
    </row>
    <row r="19" spans="1:12" customFormat="1" ht="21.75" customHeight="1" x14ac:dyDescent="0.25">
      <c r="A19" s="17" t="s">
        <v>32</v>
      </c>
      <c r="B19" s="17" t="s">
        <v>33</v>
      </c>
      <c r="C19" s="96" t="s">
        <v>34</v>
      </c>
      <c r="D19" s="17" t="s">
        <v>35</v>
      </c>
      <c r="E19" s="17" t="s">
        <v>36</v>
      </c>
      <c r="F19" s="17" t="s">
        <v>37</v>
      </c>
      <c r="G19" s="97" t="s">
        <v>38</v>
      </c>
      <c r="H19" s="96" t="s">
        <v>39</v>
      </c>
    </row>
    <row r="20" spans="1:12" s="27" customFormat="1" ht="15" customHeight="1" x14ac:dyDescent="0.25">
      <c r="A20" s="20" t="s">
        <v>40</v>
      </c>
      <c r="B20" s="21" t="s">
        <v>41</v>
      </c>
      <c r="C20" s="22" t="s">
        <v>42</v>
      </c>
      <c r="D20" s="23">
        <v>4016</v>
      </c>
      <c r="E20" s="24">
        <f t="shared" ref="E20:E64" si="0">D20/$D$65</f>
        <v>1.2655614264944527E-2</v>
      </c>
      <c r="F20" s="25">
        <f>$F$18*E20</f>
        <v>1565.6184473477283</v>
      </c>
      <c r="G20" s="26">
        <f>F20*5%</f>
        <v>78.280922367386424</v>
      </c>
      <c r="H20" s="26">
        <f t="shared" ref="H20:H64" si="1">F20+G20</f>
        <v>1643.8993697151147</v>
      </c>
    </row>
    <row r="21" spans="1:12" customFormat="1" x14ac:dyDescent="0.25">
      <c r="A21" s="20" t="s">
        <v>43</v>
      </c>
      <c r="B21" s="28" t="s">
        <v>44</v>
      </c>
      <c r="C21" s="22">
        <v>18778225000139</v>
      </c>
      <c r="D21" s="23">
        <v>8711.2199999999993</v>
      </c>
      <c r="E21" s="24">
        <f t="shared" si="0"/>
        <v>2.7451653410625016E-2</v>
      </c>
      <c r="F21" s="25">
        <f t="shared" ref="F21:F64" si="2">$F$18*E21</f>
        <v>3396.0275724363737</v>
      </c>
      <c r="G21" s="26">
        <f t="shared" ref="G21:G64" si="3">F21*5%</f>
        <v>169.80137862181869</v>
      </c>
      <c r="H21" s="26">
        <f t="shared" si="1"/>
        <v>3565.8289510581926</v>
      </c>
    </row>
    <row r="22" spans="1:12" customFormat="1" x14ac:dyDescent="0.25">
      <c r="A22" s="20" t="s">
        <v>45</v>
      </c>
      <c r="B22" s="28" t="s">
        <v>46</v>
      </c>
      <c r="C22" s="22">
        <v>41993875000119</v>
      </c>
      <c r="D22" s="23">
        <v>3641.8</v>
      </c>
      <c r="E22" s="24">
        <f t="shared" si="0"/>
        <v>1.1476398413863293E-2</v>
      </c>
      <c r="F22" s="25">
        <f t="shared" si="2"/>
        <v>1419.7383619399795</v>
      </c>
      <c r="G22" s="26">
        <f t="shared" si="3"/>
        <v>70.986918096998977</v>
      </c>
      <c r="H22" s="26">
        <f t="shared" si="1"/>
        <v>1490.7252800369786</v>
      </c>
    </row>
    <row r="23" spans="1:12" customFormat="1" x14ac:dyDescent="0.25">
      <c r="A23" s="20" t="s">
        <v>47</v>
      </c>
      <c r="B23" s="21" t="s">
        <v>48</v>
      </c>
      <c r="C23" s="22">
        <v>24781302000102</v>
      </c>
      <c r="D23" s="23">
        <v>3430</v>
      </c>
      <c r="E23" s="24">
        <f t="shared" si="0"/>
        <v>1.0808953418515869E-2</v>
      </c>
      <c r="F23" s="25">
        <f t="shared" si="2"/>
        <v>1337.1691420325469</v>
      </c>
      <c r="G23" s="26">
        <f t="shared" si="3"/>
        <v>66.858457101627351</v>
      </c>
      <c r="H23" s="26">
        <f t="shared" si="1"/>
        <v>1404.0275991341744</v>
      </c>
    </row>
    <row r="24" spans="1:12" customFormat="1" x14ac:dyDescent="0.25">
      <c r="A24" s="20" t="s">
        <v>161</v>
      </c>
      <c r="B24" s="21" t="s">
        <v>162</v>
      </c>
      <c r="C24" s="22" t="s">
        <v>163</v>
      </c>
      <c r="D24" s="23">
        <v>9403</v>
      </c>
      <c r="E24" s="24">
        <f t="shared" si="0"/>
        <v>2.9631658598922656E-2</v>
      </c>
      <c r="F24" s="25">
        <f t="shared" si="2"/>
        <v>3665.7147062775616</v>
      </c>
      <c r="G24" s="26">
        <f t="shared" si="3"/>
        <v>183.28573531387809</v>
      </c>
      <c r="H24" s="26">
        <f t="shared" si="1"/>
        <v>3849.0004415914395</v>
      </c>
    </row>
    <row r="25" spans="1:12" customFormat="1" x14ac:dyDescent="0.25">
      <c r="A25" s="20" t="s">
        <v>49</v>
      </c>
      <c r="B25" s="21" t="s">
        <v>50</v>
      </c>
      <c r="C25" s="22">
        <v>38649716000197</v>
      </c>
      <c r="D25" s="23">
        <v>3440</v>
      </c>
      <c r="E25" s="24">
        <f t="shared" si="0"/>
        <v>1.084046640224332E-2</v>
      </c>
      <c r="F25" s="25">
        <f t="shared" si="2"/>
        <v>1341.0675943416795</v>
      </c>
      <c r="G25" s="26">
        <f t="shared" si="3"/>
        <v>67.053379717083985</v>
      </c>
      <c r="H25" s="26">
        <f t="shared" si="1"/>
        <v>1408.1209740587635</v>
      </c>
    </row>
    <row r="26" spans="1:12" customFormat="1" x14ac:dyDescent="0.25">
      <c r="A26" s="20" t="s">
        <v>51</v>
      </c>
      <c r="B26" s="21" t="s">
        <v>52</v>
      </c>
      <c r="C26" s="22" t="s">
        <v>53</v>
      </c>
      <c r="D26" s="23">
        <v>4056</v>
      </c>
      <c r="E26" s="24">
        <f t="shared" si="0"/>
        <v>1.2781666199854333E-2</v>
      </c>
      <c r="F26" s="25">
        <f t="shared" si="2"/>
        <v>1581.2122565842594</v>
      </c>
      <c r="G26" s="26">
        <f t="shared" si="3"/>
        <v>79.060612829212971</v>
      </c>
      <c r="H26" s="26">
        <f t="shared" si="1"/>
        <v>1660.2728694134723</v>
      </c>
    </row>
    <row r="27" spans="1:12" customFormat="1" x14ac:dyDescent="0.25">
      <c r="A27" s="20" t="s">
        <v>54</v>
      </c>
      <c r="B27" s="21" t="s">
        <v>55</v>
      </c>
      <c r="C27" s="22" t="s">
        <v>56</v>
      </c>
      <c r="D27" s="23">
        <v>11580</v>
      </c>
      <c r="E27" s="24">
        <f t="shared" si="0"/>
        <v>3.6492035156388852E-2</v>
      </c>
      <c r="F27" s="25">
        <f t="shared" si="2"/>
        <v>4514.4077739757704</v>
      </c>
      <c r="G27" s="26">
        <f t="shared" si="3"/>
        <v>225.72038869878853</v>
      </c>
      <c r="H27" s="26">
        <f t="shared" si="1"/>
        <v>4740.1281626745586</v>
      </c>
    </row>
    <row r="28" spans="1:12" customFormat="1" x14ac:dyDescent="0.25">
      <c r="A28" s="20" t="s">
        <v>57</v>
      </c>
      <c r="B28" s="21" t="s">
        <v>58</v>
      </c>
      <c r="C28" s="22" t="s">
        <v>178</v>
      </c>
      <c r="D28" s="23">
        <f>360+360+1510</f>
        <v>2230</v>
      </c>
      <c r="E28" s="24">
        <f t="shared" si="0"/>
        <v>7.0273953712216876E-3</v>
      </c>
      <c r="F28" s="25">
        <f t="shared" si="2"/>
        <v>869.3548649366121</v>
      </c>
      <c r="G28" s="26">
        <f t="shared" si="3"/>
        <v>43.467743246830608</v>
      </c>
      <c r="H28" s="26">
        <f t="shared" si="1"/>
        <v>912.82260818344275</v>
      </c>
    </row>
    <row r="29" spans="1:12" s="33" customFormat="1" ht="15.75" customHeight="1" x14ac:dyDescent="0.25">
      <c r="A29" s="20" t="s">
        <v>60</v>
      </c>
      <c r="B29" s="29" t="s">
        <v>61</v>
      </c>
      <c r="C29" s="30" t="s">
        <v>62</v>
      </c>
      <c r="D29" s="23">
        <f>5224+3930</f>
        <v>9154</v>
      </c>
      <c r="E29" s="24">
        <f t="shared" si="0"/>
        <v>2.8846985304109115E-2</v>
      </c>
      <c r="F29" s="25">
        <f t="shared" si="2"/>
        <v>3568.6432437801554</v>
      </c>
      <c r="G29" s="26">
        <f t="shared" si="3"/>
        <v>178.43216218900778</v>
      </c>
      <c r="H29" s="31">
        <f t="shared" si="1"/>
        <v>3747.0754059691631</v>
      </c>
      <c r="I29" s="32" t="s">
        <v>63</v>
      </c>
      <c r="L29" s="33" t="s">
        <v>64</v>
      </c>
    </row>
    <row r="30" spans="1:12" customFormat="1" ht="15.75" customHeight="1" x14ac:dyDescent="0.25">
      <c r="A30" s="20" t="s">
        <v>65</v>
      </c>
      <c r="B30" s="28" t="s">
        <v>66</v>
      </c>
      <c r="C30" s="22" t="s">
        <v>67</v>
      </c>
      <c r="D30" s="23">
        <v>2610</v>
      </c>
      <c r="E30" s="24">
        <f t="shared" si="0"/>
        <v>8.2248887528648448E-3</v>
      </c>
      <c r="F30" s="25">
        <f t="shared" si="2"/>
        <v>1017.496052683658</v>
      </c>
      <c r="G30" s="26">
        <f t="shared" si="3"/>
        <v>50.874802634182906</v>
      </c>
      <c r="H30" s="26">
        <f t="shared" si="1"/>
        <v>1068.370855317841</v>
      </c>
    </row>
    <row r="31" spans="1:12" customFormat="1" ht="15.75" customHeight="1" x14ac:dyDescent="0.25">
      <c r="A31" s="20" t="s">
        <v>68</v>
      </c>
      <c r="B31" s="28" t="s">
        <v>69</v>
      </c>
      <c r="C31" s="22" t="s">
        <v>70</v>
      </c>
      <c r="D31" s="23">
        <v>5515</v>
      </c>
      <c r="E31" s="24">
        <f t="shared" si="0"/>
        <v>1.7379410525689511E-2</v>
      </c>
      <c r="F31" s="25">
        <f t="shared" si="2"/>
        <v>2149.9964484867337</v>
      </c>
      <c r="G31" s="26">
        <f t="shared" si="3"/>
        <v>107.49982242433668</v>
      </c>
      <c r="H31" s="26">
        <f t="shared" si="1"/>
        <v>2257.4962709110705</v>
      </c>
      <c r="I31" s="100"/>
    </row>
    <row r="32" spans="1:12" customFormat="1" ht="15.75" customHeight="1" x14ac:dyDescent="0.25">
      <c r="A32" s="20" t="s">
        <v>71</v>
      </c>
      <c r="B32" s="21" t="s">
        <v>72</v>
      </c>
      <c r="C32" s="22">
        <v>17202383000183</v>
      </c>
      <c r="D32" s="23">
        <v>15332</v>
      </c>
      <c r="E32" s="24">
        <f t="shared" si="0"/>
        <v>4.8315706650928658E-2</v>
      </c>
      <c r="F32" s="25">
        <f t="shared" si="2"/>
        <v>5977.1070803623925</v>
      </c>
      <c r="G32" s="26">
        <f t="shared" si="3"/>
        <v>298.85535401811961</v>
      </c>
      <c r="H32" s="26">
        <f t="shared" si="1"/>
        <v>6275.9624343805117</v>
      </c>
    </row>
    <row r="33" spans="1:12" customFormat="1" ht="15.75" customHeight="1" x14ac:dyDescent="0.25">
      <c r="A33" s="20" t="s">
        <v>73</v>
      </c>
      <c r="B33" s="21" t="s">
        <v>74</v>
      </c>
      <c r="C33" s="22">
        <v>18183488000103</v>
      </c>
      <c r="D33" s="23">
        <v>7238</v>
      </c>
      <c r="E33" s="24">
        <f t="shared" si="0"/>
        <v>2.2809097621929404E-2</v>
      </c>
      <c r="F33" s="25">
        <f t="shared" si="2"/>
        <v>2821.6997813503131</v>
      </c>
      <c r="G33" s="26">
        <f t="shared" si="3"/>
        <v>141.08498906751566</v>
      </c>
      <c r="H33" s="26">
        <f t="shared" si="1"/>
        <v>2962.7847704178289</v>
      </c>
    </row>
    <row r="34" spans="1:12" customFormat="1" x14ac:dyDescent="0.25">
      <c r="A34" s="20" t="s">
        <v>75</v>
      </c>
      <c r="B34" s="21" t="s">
        <v>76</v>
      </c>
      <c r="C34" s="22">
        <v>18244070000150</v>
      </c>
      <c r="D34" s="23">
        <v>5941</v>
      </c>
      <c r="E34" s="24">
        <f t="shared" si="0"/>
        <v>1.8721863632478943E-2</v>
      </c>
      <c r="F34" s="25">
        <f t="shared" si="2"/>
        <v>2316.0705168557902</v>
      </c>
      <c r="G34" s="26">
        <f t="shared" si="3"/>
        <v>115.80352584278951</v>
      </c>
      <c r="H34" s="26">
        <f t="shared" si="1"/>
        <v>2431.8740426985796</v>
      </c>
    </row>
    <row r="35" spans="1:12" customFormat="1" x14ac:dyDescent="0.25">
      <c r="A35" s="20" t="s">
        <v>77</v>
      </c>
      <c r="B35" s="21" t="s">
        <v>78</v>
      </c>
      <c r="C35" s="22">
        <v>18244039000110</v>
      </c>
      <c r="D35" s="23">
        <v>4460</v>
      </c>
      <c r="E35" s="24">
        <f t="shared" si="0"/>
        <v>1.4054790742443375E-2</v>
      </c>
      <c r="F35" s="25">
        <f t="shared" si="2"/>
        <v>1738.7097298732242</v>
      </c>
      <c r="G35" s="26">
        <f t="shared" si="3"/>
        <v>86.935486493661216</v>
      </c>
      <c r="H35" s="26">
        <f t="shared" si="1"/>
        <v>1825.6452163668855</v>
      </c>
    </row>
    <row r="36" spans="1:12" customFormat="1" x14ac:dyDescent="0.25">
      <c r="A36" s="20" t="s">
        <v>79</v>
      </c>
      <c r="B36" s="21" t="s">
        <v>153</v>
      </c>
      <c r="C36" s="22" t="s">
        <v>154</v>
      </c>
      <c r="D36" s="23">
        <v>4415</v>
      </c>
      <c r="E36" s="24">
        <f t="shared" si="0"/>
        <v>1.3912982315669844E-2</v>
      </c>
      <c r="F36" s="25">
        <f t="shared" si="2"/>
        <v>1721.1666944821266</v>
      </c>
      <c r="G36" s="26">
        <f t="shared" si="3"/>
        <v>86.058334724106331</v>
      </c>
      <c r="H36" s="26">
        <f t="shared" si="1"/>
        <v>1807.2250292062329</v>
      </c>
    </row>
    <row r="37" spans="1:12" customFormat="1" x14ac:dyDescent="0.25">
      <c r="A37" s="20" t="s">
        <v>81</v>
      </c>
      <c r="B37" s="21" t="s">
        <v>82</v>
      </c>
      <c r="C37" s="22" t="s">
        <v>83</v>
      </c>
      <c r="D37" s="23">
        <v>8673</v>
      </c>
      <c r="E37" s="24">
        <f t="shared" si="0"/>
        <v>2.7331210786818699E-2</v>
      </c>
      <c r="F37" s="25">
        <f t="shared" si="2"/>
        <v>3381.1276877108685</v>
      </c>
      <c r="G37" s="26">
        <f t="shared" si="3"/>
        <v>169.05638438554342</v>
      </c>
      <c r="H37" s="26">
        <f t="shared" si="1"/>
        <v>3550.1840720964119</v>
      </c>
    </row>
    <row r="38" spans="1:12" customFormat="1" x14ac:dyDescent="0.25">
      <c r="A38" s="20" t="s">
        <v>84</v>
      </c>
      <c r="B38" s="21" t="s">
        <v>155</v>
      </c>
      <c r="C38" s="22" t="s">
        <v>86</v>
      </c>
      <c r="D38" s="23">
        <v>9239</v>
      </c>
      <c r="E38" s="24">
        <f t="shared" si="0"/>
        <v>2.9114845665792453E-2</v>
      </c>
      <c r="F38" s="25">
        <f t="shared" si="2"/>
        <v>3601.7800884077842</v>
      </c>
      <c r="G38" s="26">
        <f t="shared" si="3"/>
        <v>180.08900442038922</v>
      </c>
      <c r="H38" s="26">
        <f t="shared" si="1"/>
        <v>3781.8690928281735</v>
      </c>
    </row>
    <row r="39" spans="1:12" customFormat="1" x14ac:dyDescent="0.25">
      <c r="A39" s="20" t="s">
        <v>87</v>
      </c>
      <c r="B39" s="21" t="s">
        <v>88</v>
      </c>
      <c r="C39" s="22" t="s">
        <v>89</v>
      </c>
      <c r="D39" s="23">
        <v>4892</v>
      </c>
      <c r="E39" s="24">
        <f t="shared" si="0"/>
        <v>1.5416151639469281E-2</v>
      </c>
      <c r="F39" s="25">
        <f t="shared" si="2"/>
        <v>1907.1228696277608</v>
      </c>
      <c r="G39" s="26">
        <f t="shared" si="3"/>
        <v>95.356143481388045</v>
      </c>
      <c r="H39" s="26">
        <f t="shared" si="1"/>
        <v>2002.4790131091488</v>
      </c>
    </row>
    <row r="40" spans="1:12" customFormat="1" x14ac:dyDescent="0.25">
      <c r="A40" s="20" t="s">
        <v>90</v>
      </c>
      <c r="B40" s="21" t="s">
        <v>91</v>
      </c>
      <c r="C40" s="22">
        <v>41497649000147</v>
      </c>
      <c r="D40" s="23">
        <v>2526</v>
      </c>
      <c r="E40" s="24">
        <f t="shared" si="0"/>
        <v>7.9601796895542518E-3</v>
      </c>
      <c r="F40" s="25">
        <f t="shared" si="2"/>
        <v>984.74905328694263</v>
      </c>
      <c r="G40" s="26">
        <f t="shared" si="3"/>
        <v>49.237452664347131</v>
      </c>
      <c r="H40" s="26">
        <f t="shared" si="1"/>
        <v>1033.9865059512897</v>
      </c>
    </row>
    <row r="41" spans="1:12" customFormat="1" x14ac:dyDescent="0.25">
      <c r="A41" s="20" t="s">
        <v>92</v>
      </c>
      <c r="B41" s="21" t="s">
        <v>93</v>
      </c>
      <c r="C41" s="22">
        <v>40580071000125</v>
      </c>
      <c r="D41" s="23">
        <v>3600</v>
      </c>
      <c r="E41" s="24">
        <f t="shared" si="0"/>
        <v>1.1344674141882545E-2</v>
      </c>
      <c r="F41" s="25">
        <f t="shared" si="2"/>
        <v>1403.4428312878042</v>
      </c>
      <c r="G41" s="26">
        <f t="shared" si="3"/>
        <v>70.172141564390216</v>
      </c>
      <c r="H41" s="26">
        <f t="shared" si="1"/>
        <v>1473.6149728521943</v>
      </c>
      <c r="I41" s="32" t="s">
        <v>63</v>
      </c>
      <c r="L41" t="s">
        <v>94</v>
      </c>
    </row>
    <row r="42" spans="1:12" customFormat="1" x14ac:dyDescent="0.25">
      <c r="A42" s="20" t="s">
        <v>95</v>
      </c>
      <c r="B42" s="21" t="s">
        <v>96</v>
      </c>
      <c r="C42" s="22" t="s">
        <v>97</v>
      </c>
      <c r="D42" s="23">
        <v>3938</v>
      </c>
      <c r="E42" s="24">
        <f t="shared" si="0"/>
        <v>1.2409812991870406E-2</v>
      </c>
      <c r="F42" s="25">
        <f t="shared" si="2"/>
        <v>1535.2105193364926</v>
      </c>
      <c r="G42" s="26">
        <f t="shared" si="3"/>
        <v>76.76052596682463</v>
      </c>
      <c r="H42" s="26">
        <f t="shared" si="1"/>
        <v>1611.9710453033172</v>
      </c>
    </row>
    <row r="43" spans="1:12" customFormat="1" x14ac:dyDescent="0.25">
      <c r="A43" s="20" t="s">
        <v>98</v>
      </c>
      <c r="B43" s="21" t="s">
        <v>167</v>
      </c>
      <c r="C43" s="22" t="s">
        <v>168</v>
      </c>
      <c r="D43" s="23">
        <v>3707</v>
      </c>
      <c r="E43" s="24">
        <f t="shared" si="0"/>
        <v>1.1681863067766276E-2</v>
      </c>
      <c r="F43" s="25">
        <f t="shared" si="2"/>
        <v>1445.1562709955251</v>
      </c>
      <c r="G43" s="26">
        <f t="shared" si="3"/>
        <v>72.257813549776259</v>
      </c>
      <c r="H43" s="26">
        <f t="shared" si="1"/>
        <v>1517.4140845453014</v>
      </c>
    </row>
    <row r="44" spans="1:12" customFormat="1" x14ac:dyDescent="0.25">
      <c r="A44" s="20" t="s">
        <v>100</v>
      </c>
      <c r="B44" s="21" t="s">
        <v>101</v>
      </c>
      <c r="C44" s="22">
        <v>42109766000159</v>
      </c>
      <c r="D44" s="23">
        <v>5117</v>
      </c>
      <c r="E44" s="24">
        <f t="shared" si="0"/>
        <v>1.6125193773336939E-2</v>
      </c>
      <c r="F44" s="25">
        <f t="shared" si="2"/>
        <v>1994.8380465832483</v>
      </c>
      <c r="G44" s="26">
        <f t="shared" si="3"/>
        <v>99.741902329162428</v>
      </c>
      <c r="H44" s="26">
        <f t="shared" si="1"/>
        <v>2094.5799489124106</v>
      </c>
    </row>
    <row r="45" spans="1:12" customFormat="1" x14ac:dyDescent="0.25">
      <c r="A45" s="20" t="s">
        <v>102</v>
      </c>
      <c r="B45" s="21" t="s">
        <v>99</v>
      </c>
      <c r="C45" s="22">
        <v>18788190000119</v>
      </c>
      <c r="D45" s="23">
        <v>14717</v>
      </c>
      <c r="E45" s="24">
        <f t="shared" si="0"/>
        <v>4.6377658151690392E-2</v>
      </c>
      <c r="F45" s="25">
        <f t="shared" si="2"/>
        <v>5737.3522633507264</v>
      </c>
      <c r="G45" s="26">
        <f t="shared" si="3"/>
        <v>286.86761316753632</v>
      </c>
      <c r="H45" s="26">
        <f t="shared" si="1"/>
        <v>6024.2198765182629</v>
      </c>
      <c r="I45" s="100"/>
      <c r="J45" s="100"/>
    </row>
    <row r="46" spans="1:12" customFormat="1" ht="13.5" customHeight="1" x14ac:dyDescent="0.25">
      <c r="A46" s="20" t="s">
        <v>103</v>
      </c>
      <c r="B46" s="21" t="s">
        <v>104</v>
      </c>
      <c r="C46" s="22">
        <v>32302613000170</v>
      </c>
      <c r="D46" s="23">
        <v>5439</v>
      </c>
      <c r="E46" s="24">
        <f t="shared" si="0"/>
        <v>1.7139911849360877E-2</v>
      </c>
      <c r="F46" s="25">
        <f t="shared" si="2"/>
        <v>2120.368210937324</v>
      </c>
      <c r="G46" s="26">
        <f t="shared" si="3"/>
        <v>106.01841054686621</v>
      </c>
      <c r="H46" s="26">
        <f t="shared" si="1"/>
        <v>2226.3866214841901</v>
      </c>
    </row>
    <row r="47" spans="1:12" customFormat="1" x14ac:dyDescent="0.25">
      <c r="A47" s="20" t="s">
        <v>105</v>
      </c>
      <c r="B47" s="21" t="s">
        <v>106</v>
      </c>
      <c r="C47" s="22">
        <v>28616552000148</v>
      </c>
      <c r="D47" s="23">
        <v>4123.71</v>
      </c>
      <c r="E47" s="24">
        <f t="shared" si="0"/>
        <v>1.2995040612672908E-2</v>
      </c>
      <c r="F47" s="25">
        <f t="shared" si="2"/>
        <v>1607.6086771693977</v>
      </c>
      <c r="G47" s="26">
        <f t="shared" si="3"/>
        <v>80.380433858469885</v>
      </c>
      <c r="H47" s="26">
        <f t="shared" si="1"/>
        <v>1687.9891110278675</v>
      </c>
    </row>
    <row r="48" spans="1:12" customFormat="1" x14ac:dyDescent="0.25">
      <c r="A48" s="20" t="s">
        <v>107</v>
      </c>
      <c r="B48" s="21" t="s">
        <v>108</v>
      </c>
      <c r="C48" s="22">
        <v>42579914000107</v>
      </c>
      <c r="D48" s="23">
        <v>4986.3599999999997</v>
      </c>
      <c r="E48" s="24">
        <f t="shared" si="0"/>
        <v>1.5713508153921512E-2</v>
      </c>
      <c r="F48" s="25">
        <f t="shared" si="2"/>
        <v>1943.9086656167376</v>
      </c>
      <c r="G48" s="26">
        <f t="shared" si="3"/>
        <v>97.19543328083688</v>
      </c>
      <c r="H48" s="26">
        <f t="shared" si="1"/>
        <v>2041.1040988975744</v>
      </c>
    </row>
    <row r="49" spans="1:10" customFormat="1" x14ac:dyDescent="0.25">
      <c r="A49" s="20" t="s">
        <v>199</v>
      </c>
      <c r="B49" s="101" t="s">
        <v>200</v>
      </c>
      <c r="C49" s="102" t="s">
        <v>201</v>
      </c>
      <c r="D49" s="23">
        <v>3946</v>
      </c>
      <c r="E49" s="24">
        <f t="shared" si="0"/>
        <v>1.2435023378852368E-2</v>
      </c>
      <c r="F49" s="25">
        <f t="shared" si="2"/>
        <v>1538.3292811837989</v>
      </c>
      <c r="G49" s="26">
        <f t="shared" si="3"/>
        <v>76.916464059189948</v>
      </c>
      <c r="H49" s="26">
        <f t="shared" si="1"/>
        <v>1615.245745242989</v>
      </c>
      <c r="J49" s="44"/>
    </row>
    <row r="50" spans="1:10" customFormat="1" x14ac:dyDescent="0.25">
      <c r="A50" s="20" t="s">
        <v>202</v>
      </c>
      <c r="B50" s="101" t="s">
        <v>203</v>
      </c>
      <c r="C50" s="102" t="s">
        <v>204</v>
      </c>
      <c r="D50" s="23">
        <v>3516</v>
      </c>
      <c r="E50" s="24">
        <f t="shared" si="0"/>
        <v>1.1079965078571952E-2</v>
      </c>
      <c r="F50" s="25">
        <f t="shared" si="2"/>
        <v>1370.6958318910888</v>
      </c>
      <c r="G50" s="26">
        <f t="shared" ref="G50" si="4">F50*5%</f>
        <v>68.534791594554449</v>
      </c>
      <c r="H50" s="26">
        <f t="shared" ref="H50" si="5">F50+G50</f>
        <v>1439.2306234856433</v>
      </c>
      <c r="J50" s="44"/>
    </row>
    <row r="51" spans="1:10" customFormat="1" x14ac:dyDescent="0.25">
      <c r="A51" s="20" t="s">
        <v>112</v>
      </c>
      <c r="B51" s="57" t="s">
        <v>205</v>
      </c>
      <c r="C51" s="58" t="s">
        <v>206</v>
      </c>
      <c r="D51" s="23">
        <v>5525</v>
      </c>
      <c r="E51" s="24">
        <f t="shared" si="0"/>
        <v>1.7410923509416962E-2</v>
      </c>
      <c r="F51" s="25">
        <f t="shared" si="2"/>
        <v>2153.8949007958663</v>
      </c>
      <c r="G51" s="26">
        <f t="shared" si="3"/>
        <v>107.69474503979332</v>
      </c>
      <c r="H51" s="26">
        <f t="shared" si="1"/>
        <v>2261.5896458356597</v>
      </c>
    </row>
    <row r="52" spans="1:10" customFormat="1" x14ac:dyDescent="0.25">
      <c r="A52" s="20" t="s">
        <v>115</v>
      </c>
      <c r="B52" s="21" t="s">
        <v>116</v>
      </c>
      <c r="C52" s="22">
        <v>26480299000112</v>
      </c>
      <c r="D52" s="23"/>
      <c r="E52" s="24">
        <f t="shared" si="0"/>
        <v>0</v>
      </c>
      <c r="F52" s="25">
        <f t="shared" si="2"/>
        <v>0</v>
      </c>
      <c r="G52" s="26">
        <f t="shared" si="3"/>
        <v>0</v>
      </c>
      <c r="H52" s="26">
        <f t="shared" si="1"/>
        <v>0</v>
      </c>
    </row>
    <row r="53" spans="1:10" customFormat="1" x14ac:dyDescent="0.25">
      <c r="A53" s="20" t="s">
        <v>179</v>
      </c>
      <c r="B53" s="21" t="s">
        <v>180</v>
      </c>
      <c r="C53" s="22" t="s">
        <v>181</v>
      </c>
      <c r="D53" s="23">
        <v>11302</v>
      </c>
      <c r="E53" s="24">
        <f t="shared" si="0"/>
        <v>3.5615974208765701E-2</v>
      </c>
      <c r="F53" s="25">
        <f t="shared" si="2"/>
        <v>4406.0307997818791</v>
      </c>
      <c r="G53" s="26">
        <f t="shared" si="3"/>
        <v>220.30153998909395</v>
      </c>
      <c r="H53" s="26">
        <f t="shared" si="1"/>
        <v>4626.3323397709728</v>
      </c>
    </row>
    <row r="54" spans="1:10" customFormat="1" x14ac:dyDescent="0.25">
      <c r="A54" s="20" t="s">
        <v>117</v>
      </c>
      <c r="B54" s="21" t="s">
        <v>118</v>
      </c>
      <c r="C54" s="22" t="s">
        <v>119</v>
      </c>
      <c r="D54" s="23">
        <v>4943</v>
      </c>
      <c r="E54" s="24">
        <f t="shared" si="0"/>
        <v>1.5576867856479283E-2</v>
      </c>
      <c r="F54" s="25">
        <f t="shared" si="2"/>
        <v>1927.0049764043379</v>
      </c>
      <c r="G54" s="26">
        <f t="shared" si="3"/>
        <v>96.350248820216905</v>
      </c>
      <c r="H54" s="26">
        <f t="shared" si="1"/>
        <v>2023.3552252245547</v>
      </c>
    </row>
    <row r="55" spans="1:10" customFormat="1" x14ac:dyDescent="0.25">
      <c r="A55" s="20" t="s">
        <v>120</v>
      </c>
      <c r="B55" s="21" t="s">
        <v>121</v>
      </c>
      <c r="C55" s="22">
        <v>12997366000166</v>
      </c>
      <c r="D55" s="23">
        <v>5160</v>
      </c>
      <c r="E55" s="24">
        <f t="shared" si="0"/>
        <v>1.6260699603364979E-2</v>
      </c>
      <c r="F55" s="25">
        <f t="shared" si="2"/>
        <v>2011.6013915125193</v>
      </c>
      <c r="G55" s="26">
        <f t="shared" si="3"/>
        <v>100.58006957562597</v>
      </c>
      <c r="H55" s="26">
        <f t="shared" si="1"/>
        <v>2112.1814610881452</v>
      </c>
    </row>
    <row r="56" spans="1:10" customFormat="1" ht="16.5" customHeight="1" x14ac:dyDescent="0.25">
      <c r="A56" s="20" t="s">
        <v>122</v>
      </c>
      <c r="B56" s="21" t="s">
        <v>123</v>
      </c>
      <c r="C56" s="22" t="s">
        <v>124</v>
      </c>
      <c r="D56" s="23">
        <v>6586</v>
      </c>
      <c r="E56" s="24">
        <f t="shared" si="0"/>
        <v>2.0754451082899566E-2</v>
      </c>
      <c r="F56" s="25">
        <f t="shared" si="2"/>
        <v>2567.520690794855</v>
      </c>
      <c r="G56" s="26">
        <f t="shared" si="3"/>
        <v>128.37603453974276</v>
      </c>
      <c r="H56" s="26">
        <f t="shared" si="1"/>
        <v>2695.8967253345977</v>
      </c>
    </row>
    <row r="57" spans="1:10" customFormat="1" x14ac:dyDescent="0.25">
      <c r="A57" s="20" t="s">
        <v>125</v>
      </c>
      <c r="B57" s="86" t="s">
        <v>126</v>
      </c>
      <c r="C57" s="22">
        <v>11884518000151</v>
      </c>
      <c r="D57" s="23">
        <v>5644</v>
      </c>
      <c r="E57" s="24">
        <f t="shared" si="0"/>
        <v>1.7785928015773635E-2</v>
      </c>
      <c r="F57" s="25">
        <f t="shared" si="2"/>
        <v>2200.2864832745468</v>
      </c>
      <c r="G57" s="26">
        <f t="shared" si="3"/>
        <v>110.01432416372734</v>
      </c>
      <c r="H57" s="26">
        <f t="shared" si="1"/>
        <v>2310.3008074382742</v>
      </c>
    </row>
    <row r="58" spans="1:10" customFormat="1" x14ac:dyDescent="0.25">
      <c r="A58" s="20" t="s">
        <v>127</v>
      </c>
      <c r="B58" s="86" t="s">
        <v>128</v>
      </c>
      <c r="C58" s="22">
        <v>36188051000136</v>
      </c>
      <c r="D58" s="23">
        <v>6936</v>
      </c>
      <c r="E58" s="24">
        <f t="shared" si="0"/>
        <v>2.1857405513360368E-2</v>
      </c>
      <c r="F58" s="25">
        <f t="shared" si="2"/>
        <v>2703.9665216145027</v>
      </c>
      <c r="G58" s="26">
        <f t="shared" si="3"/>
        <v>135.19832608072514</v>
      </c>
      <c r="H58" s="26">
        <f t="shared" si="1"/>
        <v>2839.1648476952278</v>
      </c>
    </row>
    <row r="59" spans="1:10" customFormat="1" x14ac:dyDescent="0.25">
      <c r="A59" s="20" t="s">
        <v>129</v>
      </c>
      <c r="B59" s="86" t="s">
        <v>130</v>
      </c>
      <c r="C59" s="22" t="s">
        <v>131</v>
      </c>
      <c r="D59" s="23">
        <f>7425*40%</f>
        <v>2970</v>
      </c>
      <c r="E59" s="24">
        <f t="shared" si="0"/>
        <v>9.3593561670530998E-3</v>
      </c>
      <c r="F59" s="25">
        <f t="shared" si="2"/>
        <v>1157.8403358124385</v>
      </c>
      <c r="G59" s="26">
        <f t="shared" si="3"/>
        <v>57.892016790621931</v>
      </c>
      <c r="H59" s="26">
        <f t="shared" si="1"/>
        <v>1215.7323526030605</v>
      </c>
    </row>
    <row r="60" spans="1:10" customFormat="1" x14ac:dyDescent="0.25">
      <c r="A60" s="20" t="s">
        <v>132</v>
      </c>
      <c r="B60" s="86" t="s">
        <v>133</v>
      </c>
      <c r="C60" s="22">
        <v>18741082000190</v>
      </c>
      <c r="D60" s="23">
        <v>12183</v>
      </c>
      <c r="E60" s="24">
        <f t="shared" si="0"/>
        <v>3.8392268075154175E-2</v>
      </c>
      <c r="F60" s="25">
        <f t="shared" si="2"/>
        <v>4749.4844482164772</v>
      </c>
      <c r="G60" s="26">
        <f t="shared" si="3"/>
        <v>237.47422241082387</v>
      </c>
      <c r="H60" s="26">
        <f t="shared" si="1"/>
        <v>4986.9586706273012</v>
      </c>
    </row>
    <row r="61" spans="1:10" customFormat="1" x14ac:dyDescent="0.25">
      <c r="A61" s="56" t="s">
        <v>134</v>
      </c>
      <c r="B61" s="103" t="s">
        <v>135</v>
      </c>
      <c r="C61" s="58" t="s">
        <v>136</v>
      </c>
      <c r="D61" s="59">
        <v>4814</v>
      </c>
      <c r="E61" s="60">
        <f t="shared" si="0"/>
        <v>1.5170350366395158E-2</v>
      </c>
      <c r="F61" s="61">
        <f t="shared" si="2"/>
        <v>1876.7149416165248</v>
      </c>
      <c r="G61" s="62">
        <f t="shared" si="3"/>
        <v>93.835747080826252</v>
      </c>
      <c r="H61" s="62">
        <f t="shared" si="1"/>
        <v>1970.550688697351</v>
      </c>
      <c r="I61" s="63" t="s">
        <v>207</v>
      </c>
      <c r="J61" s="58">
        <v>18777904000193</v>
      </c>
    </row>
    <row r="62" spans="1:10" customFormat="1" x14ac:dyDescent="0.25">
      <c r="A62" s="20" t="s">
        <v>183</v>
      </c>
      <c r="B62" s="21" t="s">
        <v>184</v>
      </c>
      <c r="C62" s="22" t="s">
        <v>185</v>
      </c>
      <c r="D62" s="23">
        <v>6188.23</v>
      </c>
      <c r="E62" s="24">
        <f t="shared" si="0"/>
        <v>1.9500959129172726E-2</v>
      </c>
      <c r="F62" s="25">
        <f>$F$18*E62</f>
        <v>2412.4519532944801</v>
      </c>
      <c r="G62" s="26">
        <f>F62*5%</f>
        <v>120.62259766472401</v>
      </c>
      <c r="H62" s="26">
        <f>F62+G62</f>
        <v>2533.0745509592039</v>
      </c>
    </row>
    <row r="63" spans="1:10" customFormat="1" x14ac:dyDescent="0.25">
      <c r="A63" s="20" t="s">
        <v>137</v>
      </c>
      <c r="B63" s="86" t="s">
        <v>138</v>
      </c>
      <c r="C63" s="22" t="s">
        <v>139</v>
      </c>
      <c r="D63" s="23">
        <v>3476.86</v>
      </c>
      <c r="E63" s="24">
        <f t="shared" si="0"/>
        <v>1.0956623260262708E-2</v>
      </c>
      <c r="F63" s="25">
        <f t="shared" si="2"/>
        <v>1355.4372895531433</v>
      </c>
      <c r="G63" s="26">
        <f t="shared" si="3"/>
        <v>67.771864477657161</v>
      </c>
      <c r="H63" s="26">
        <f t="shared" si="1"/>
        <v>1423.2091540308004</v>
      </c>
    </row>
    <row r="64" spans="1:10" customFormat="1" x14ac:dyDescent="0.25">
      <c r="A64" s="20" t="s">
        <v>140</v>
      </c>
      <c r="B64" s="28" t="s">
        <v>141</v>
      </c>
      <c r="C64" s="22">
        <v>11884518000151</v>
      </c>
      <c r="D64" s="23">
        <f>81377.44-14717-3314-9239+4126.33-9403+9177.57</f>
        <v>58008.340000000004</v>
      </c>
      <c r="E64" s="24">
        <f t="shared" si="0"/>
        <v>0.18280158744764749</v>
      </c>
      <c r="F64" s="25">
        <f t="shared" si="2"/>
        <v>22614.274702195999</v>
      </c>
      <c r="G64" s="26">
        <f t="shared" si="3"/>
        <v>1130.7137351097999</v>
      </c>
      <c r="H64" s="26">
        <f t="shared" si="1"/>
        <v>23744.988437305798</v>
      </c>
    </row>
    <row r="65" spans="1:8" customFormat="1" x14ac:dyDescent="0.25">
      <c r="A65" s="34"/>
      <c r="B65" s="35"/>
      <c r="C65" s="36" t="s">
        <v>142</v>
      </c>
      <c r="D65" s="37">
        <f>SUM(D20:D64)</f>
        <v>317329.52</v>
      </c>
      <c r="E65" s="38">
        <f>SUM(E20:E64)</f>
        <v>0.99999999999999989</v>
      </c>
      <c r="F65" s="98">
        <f>SUM(F20:F64)</f>
        <v>123709.39999999997</v>
      </c>
      <c r="G65" s="98">
        <f>SUM(G20:G64)</f>
        <v>6185.4699999999984</v>
      </c>
      <c r="H65" s="99">
        <f>SUM(H20:H64)</f>
        <v>129894.86999999997</v>
      </c>
    </row>
    <row r="66" spans="1:8" customFormat="1" x14ac:dyDescent="0.25">
      <c r="D66" s="44"/>
      <c r="F66" s="41"/>
    </row>
    <row r="67" spans="1:8" customFormat="1" x14ac:dyDescent="0.25">
      <c r="F67" s="41"/>
    </row>
    <row r="68" spans="1:8" customFormat="1" x14ac:dyDescent="0.25">
      <c r="D68" s="44"/>
      <c r="E68" s="41"/>
      <c r="H68" s="42"/>
    </row>
    <row r="69" spans="1:8" customFormat="1" x14ac:dyDescent="0.25">
      <c r="E69" s="41"/>
    </row>
    <row r="70" spans="1:8" customFormat="1" x14ac:dyDescent="0.25"/>
    <row r="71" spans="1:8" customFormat="1" x14ac:dyDescent="0.25"/>
    <row r="72" spans="1:8" customFormat="1" x14ac:dyDescent="0.25"/>
    <row r="73" spans="1:8" customFormat="1" x14ac:dyDescent="0.25">
      <c r="C73" s="44">
        <v>4126.33</v>
      </c>
    </row>
    <row r="74" spans="1:8" customFormat="1" x14ac:dyDescent="0.25"/>
    <row r="75" spans="1:8" customFormat="1" x14ac:dyDescent="0.25"/>
    <row r="76" spans="1:8" customFormat="1" x14ac:dyDescent="0.25"/>
    <row r="77" spans="1:8" customFormat="1" x14ac:dyDescent="0.25"/>
    <row r="78" spans="1:8" customFormat="1" x14ac:dyDescent="0.25"/>
    <row r="79" spans="1:8" customFormat="1" x14ac:dyDescent="0.25"/>
    <row r="80" spans="1:8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spans="1:8" customFormat="1" x14ac:dyDescent="0.25"/>
    <row r="146" spans="1:8" customFormat="1" x14ac:dyDescent="0.25"/>
    <row r="147" spans="1:8" customFormat="1" x14ac:dyDescent="0.25"/>
    <row r="148" spans="1:8" customFormat="1" x14ac:dyDescent="0.25"/>
    <row r="149" spans="1:8" customFormat="1" x14ac:dyDescent="0.25">
      <c r="A149" s="100"/>
      <c r="B149" s="100"/>
      <c r="C149" s="100"/>
      <c r="D149" s="100"/>
      <c r="E149" s="100"/>
    </row>
    <row r="150" spans="1:8" x14ac:dyDescent="0.25">
      <c r="F150"/>
      <c r="G150"/>
      <c r="H150"/>
    </row>
    <row r="151" spans="1:8" x14ac:dyDescent="0.25">
      <c r="F151"/>
      <c r="G151"/>
      <c r="H151"/>
    </row>
    <row r="152" spans="1:8" x14ac:dyDescent="0.25">
      <c r="F152"/>
      <c r="G152"/>
      <c r="H152"/>
    </row>
    <row r="153" spans="1:8" x14ac:dyDescent="0.25">
      <c r="F153"/>
      <c r="G153"/>
      <c r="H153"/>
    </row>
    <row r="154" spans="1:8" x14ac:dyDescent="0.25">
      <c r="F154"/>
      <c r="G154"/>
      <c r="H154"/>
    </row>
    <row r="155" spans="1:8" x14ac:dyDescent="0.25">
      <c r="F155"/>
      <c r="G155"/>
      <c r="H155"/>
    </row>
    <row r="156" spans="1:8" x14ac:dyDescent="0.25">
      <c r="F156"/>
      <c r="G156"/>
      <c r="H156"/>
    </row>
    <row r="157" spans="1:8" x14ac:dyDescent="0.25">
      <c r="F157"/>
      <c r="G157"/>
      <c r="H157"/>
    </row>
    <row r="158" spans="1:8" x14ac:dyDescent="0.25">
      <c r="F158"/>
      <c r="G158"/>
      <c r="H158"/>
    </row>
    <row r="159" spans="1:8" x14ac:dyDescent="0.25">
      <c r="F159"/>
      <c r="G159"/>
      <c r="H159"/>
    </row>
    <row r="160" spans="1:8" x14ac:dyDescent="0.25">
      <c r="F160"/>
      <c r="G160"/>
      <c r="H160"/>
    </row>
    <row r="161" spans="6:8" x14ac:dyDescent="0.25">
      <c r="F161"/>
      <c r="G161"/>
      <c r="H161"/>
    </row>
    <row r="162" spans="6:8" x14ac:dyDescent="0.25">
      <c r="F162"/>
      <c r="G162"/>
      <c r="H162"/>
    </row>
    <row r="163" spans="6:8" x14ac:dyDescent="0.25">
      <c r="F163"/>
      <c r="G163"/>
      <c r="H163"/>
    </row>
    <row r="164" spans="6:8" x14ac:dyDescent="0.25">
      <c r="F164"/>
      <c r="G164"/>
      <c r="H164"/>
    </row>
    <row r="165" spans="6:8" x14ac:dyDescent="0.25">
      <c r="F165"/>
      <c r="G165"/>
      <c r="H165"/>
    </row>
    <row r="166" spans="6:8" x14ac:dyDescent="0.25">
      <c r="F166"/>
      <c r="G166"/>
      <c r="H166"/>
    </row>
    <row r="167" spans="6:8" x14ac:dyDescent="0.25">
      <c r="F167"/>
      <c r="G167"/>
      <c r="H167"/>
    </row>
    <row r="168" spans="6:8" x14ac:dyDescent="0.25">
      <c r="F168"/>
      <c r="G168"/>
      <c r="H168"/>
    </row>
    <row r="169" spans="6:8" x14ac:dyDescent="0.25">
      <c r="F169"/>
      <c r="G169"/>
      <c r="H169"/>
    </row>
    <row r="170" spans="6:8" x14ac:dyDescent="0.25">
      <c r="F170"/>
      <c r="G170"/>
      <c r="H170"/>
    </row>
    <row r="171" spans="6:8" x14ac:dyDescent="0.25">
      <c r="F171"/>
      <c r="G171"/>
      <c r="H171"/>
    </row>
    <row r="172" spans="6:8" x14ac:dyDescent="0.25">
      <c r="F172"/>
      <c r="G172"/>
      <c r="H172"/>
    </row>
    <row r="173" spans="6:8" x14ac:dyDescent="0.25">
      <c r="F173"/>
      <c r="G173"/>
      <c r="H173"/>
    </row>
    <row r="174" spans="6:8" x14ac:dyDescent="0.25">
      <c r="F174"/>
      <c r="G174"/>
      <c r="H174"/>
    </row>
    <row r="175" spans="6:8" x14ac:dyDescent="0.25">
      <c r="F175"/>
      <c r="G175"/>
      <c r="H175"/>
    </row>
    <row r="176" spans="6:8" x14ac:dyDescent="0.25">
      <c r="F176"/>
      <c r="G176"/>
      <c r="H176"/>
    </row>
    <row r="177" spans="6:8" x14ac:dyDescent="0.25">
      <c r="F177"/>
      <c r="G177"/>
      <c r="H177"/>
    </row>
    <row r="178" spans="6:8" x14ac:dyDescent="0.25">
      <c r="F178"/>
      <c r="G178"/>
      <c r="H178"/>
    </row>
    <row r="179" spans="6:8" x14ac:dyDescent="0.25">
      <c r="F179"/>
      <c r="G179"/>
      <c r="H179"/>
    </row>
    <row r="180" spans="6:8" x14ac:dyDescent="0.25">
      <c r="F180"/>
      <c r="G180"/>
      <c r="H180"/>
    </row>
    <row r="181" spans="6:8" x14ac:dyDescent="0.25">
      <c r="F181"/>
      <c r="G181"/>
      <c r="H181"/>
    </row>
    <row r="182" spans="6:8" x14ac:dyDescent="0.25">
      <c r="F182"/>
      <c r="G182"/>
      <c r="H182"/>
    </row>
    <row r="183" spans="6:8" x14ac:dyDescent="0.25">
      <c r="F183"/>
      <c r="G183"/>
      <c r="H183"/>
    </row>
    <row r="184" spans="6:8" x14ac:dyDescent="0.25">
      <c r="F184"/>
      <c r="G184"/>
      <c r="H184"/>
    </row>
    <row r="185" spans="6:8" x14ac:dyDescent="0.25">
      <c r="F185"/>
      <c r="G185"/>
      <c r="H185"/>
    </row>
    <row r="186" spans="6:8" x14ac:dyDescent="0.25">
      <c r="F186"/>
      <c r="G186"/>
      <c r="H186"/>
    </row>
    <row r="187" spans="6:8" x14ac:dyDescent="0.25">
      <c r="F187"/>
      <c r="G187"/>
      <c r="H187"/>
    </row>
    <row r="188" spans="6:8" x14ac:dyDescent="0.25">
      <c r="F188"/>
      <c r="G188"/>
      <c r="H188"/>
    </row>
    <row r="189" spans="6:8" x14ac:dyDescent="0.25">
      <c r="F189"/>
      <c r="G189"/>
      <c r="H189"/>
    </row>
    <row r="190" spans="6:8" x14ac:dyDescent="0.25">
      <c r="F190"/>
      <c r="G190"/>
      <c r="H190"/>
    </row>
    <row r="191" spans="6:8" x14ac:dyDescent="0.25">
      <c r="F191"/>
      <c r="G191"/>
      <c r="H191"/>
    </row>
    <row r="192" spans="6:8" x14ac:dyDescent="0.25">
      <c r="F192"/>
      <c r="G192"/>
      <c r="H192"/>
    </row>
    <row r="193" spans="6:8" x14ac:dyDescent="0.25">
      <c r="F193"/>
      <c r="G193"/>
      <c r="H193"/>
    </row>
    <row r="194" spans="6:8" x14ac:dyDescent="0.25">
      <c r="F194"/>
      <c r="G194"/>
      <c r="H194"/>
    </row>
    <row r="195" spans="6:8" x14ac:dyDescent="0.25">
      <c r="F195"/>
      <c r="G195"/>
      <c r="H195"/>
    </row>
    <row r="196" spans="6:8" x14ac:dyDescent="0.25">
      <c r="F196"/>
      <c r="G196"/>
      <c r="H196"/>
    </row>
    <row r="197" spans="6:8" x14ac:dyDescent="0.25">
      <c r="F197"/>
      <c r="G197"/>
      <c r="H197"/>
    </row>
    <row r="198" spans="6:8" x14ac:dyDescent="0.25">
      <c r="F198"/>
      <c r="G198"/>
      <c r="H198"/>
    </row>
    <row r="199" spans="6:8" x14ac:dyDescent="0.25">
      <c r="F199"/>
      <c r="G199"/>
      <c r="H199"/>
    </row>
    <row r="200" spans="6:8" x14ac:dyDescent="0.25">
      <c r="F200"/>
      <c r="G200"/>
      <c r="H200"/>
    </row>
    <row r="201" spans="6:8" x14ac:dyDescent="0.25">
      <c r="F201"/>
      <c r="G201"/>
      <c r="H201"/>
    </row>
    <row r="202" spans="6:8" x14ac:dyDescent="0.25">
      <c r="F202"/>
      <c r="G202"/>
      <c r="H202"/>
    </row>
    <row r="203" spans="6:8" x14ac:dyDescent="0.25">
      <c r="F203"/>
      <c r="G203"/>
      <c r="H203"/>
    </row>
    <row r="204" spans="6:8" x14ac:dyDescent="0.25">
      <c r="F204"/>
      <c r="G204"/>
      <c r="H204"/>
    </row>
    <row r="205" spans="6:8" x14ac:dyDescent="0.25">
      <c r="F205"/>
      <c r="G205"/>
      <c r="H205"/>
    </row>
    <row r="206" spans="6:8" x14ac:dyDescent="0.25">
      <c r="F206"/>
      <c r="G206"/>
      <c r="H206"/>
    </row>
    <row r="207" spans="6:8" x14ac:dyDescent="0.25">
      <c r="F207"/>
      <c r="G207"/>
      <c r="H207"/>
    </row>
    <row r="208" spans="6:8" x14ac:dyDescent="0.25">
      <c r="F208"/>
      <c r="G208"/>
      <c r="H208"/>
    </row>
    <row r="209" spans="6:8" x14ac:dyDescent="0.25">
      <c r="F209"/>
      <c r="G209"/>
      <c r="H209"/>
    </row>
    <row r="210" spans="6:8" x14ac:dyDescent="0.25">
      <c r="F210"/>
      <c r="G210"/>
      <c r="H210"/>
    </row>
    <row r="211" spans="6:8" x14ac:dyDescent="0.25">
      <c r="F211"/>
      <c r="G211"/>
      <c r="H211"/>
    </row>
    <row r="212" spans="6:8" x14ac:dyDescent="0.25">
      <c r="F212"/>
      <c r="G212"/>
      <c r="H212"/>
    </row>
    <row r="213" spans="6:8" x14ac:dyDescent="0.25">
      <c r="F213"/>
      <c r="G213"/>
      <c r="H213"/>
    </row>
    <row r="214" spans="6:8" x14ac:dyDescent="0.25">
      <c r="F214"/>
      <c r="G214"/>
      <c r="H214"/>
    </row>
    <row r="215" spans="6:8" x14ac:dyDescent="0.25">
      <c r="F215"/>
      <c r="G215"/>
      <c r="H215"/>
    </row>
    <row r="216" spans="6:8" x14ac:dyDescent="0.25">
      <c r="F216"/>
      <c r="G216"/>
      <c r="H216"/>
    </row>
    <row r="217" spans="6:8" x14ac:dyDescent="0.25">
      <c r="F217"/>
      <c r="G217"/>
      <c r="H217"/>
    </row>
    <row r="218" spans="6:8" x14ac:dyDescent="0.25">
      <c r="F218"/>
      <c r="G218"/>
      <c r="H218"/>
    </row>
    <row r="219" spans="6:8" x14ac:dyDescent="0.25">
      <c r="F219"/>
      <c r="G219"/>
      <c r="H219"/>
    </row>
    <row r="220" spans="6:8" x14ac:dyDescent="0.25">
      <c r="F220"/>
      <c r="G220"/>
      <c r="H220"/>
    </row>
    <row r="221" spans="6:8" x14ac:dyDescent="0.25">
      <c r="F221"/>
      <c r="G221"/>
      <c r="H221"/>
    </row>
    <row r="222" spans="6:8" x14ac:dyDescent="0.25">
      <c r="F222"/>
      <c r="G222"/>
      <c r="H222"/>
    </row>
    <row r="223" spans="6:8" x14ac:dyDescent="0.25">
      <c r="F223"/>
      <c r="G223"/>
      <c r="H223"/>
    </row>
    <row r="224" spans="6:8" x14ac:dyDescent="0.25">
      <c r="F224"/>
      <c r="G224"/>
      <c r="H224"/>
    </row>
    <row r="225" spans="6:8" x14ac:dyDescent="0.25">
      <c r="F225"/>
      <c r="G225"/>
      <c r="H225"/>
    </row>
    <row r="226" spans="6:8" x14ac:dyDescent="0.25">
      <c r="F226"/>
      <c r="G226"/>
      <c r="H226"/>
    </row>
    <row r="227" spans="6:8" x14ac:dyDescent="0.25">
      <c r="F227"/>
      <c r="G227"/>
      <c r="H227"/>
    </row>
    <row r="228" spans="6:8" x14ac:dyDescent="0.25">
      <c r="F228"/>
      <c r="G228"/>
      <c r="H228"/>
    </row>
    <row r="229" spans="6:8" x14ac:dyDescent="0.25">
      <c r="F229"/>
      <c r="G229"/>
      <c r="H229"/>
    </row>
    <row r="230" spans="6:8" x14ac:dyDescent="0.25">
      <c r="F230"/>
      <c r="G230"/>
      <c r="H230"/>
    </row>
    <row r="231" spans="6:8" x14ac:dyDescent="0.25">
      <c r="G231"/>
      <c r="H231"/>
    </row>
  </sheetData>
  <autoFilter ref="A19:L65" xr:uid="{EF89F69C-AE2D-4213-8B8C-FE31A3656908}"/>
  <mergeCells count="1">
    <mergeCell ref="B1:G1"/>
  </mergeCells>
  <pageMargins left="0.511811024" right="0.511811024" top="0.78740157499999996" bottom="0.78740157499999996" header="0.31496062000000002" footer="0.31496062000000002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D28DF-D17E-4FAB-AC51-8D5029F5BCE9}">
  <dimension ref="A1:L232"/>
  <sheetViews>
    <sheetView topLeftCell="B52" zoomScaleNormal="100" workbookViewId="0">
      <selection activeCell="D70" sqref="D70"/>
    </sheetView>
  </sheetViews>
  <sheetFormatPr defaultColWidth="9.140625" defaultRowHeight="15" x14ac:dyDescent="0.25"/>
  <cols>
    <col min="1" max="1" width="29.5703125" style="100" customWidth="1"/>
    <col min="2" max="2" width="45.28515625" style="100" customWidth="1"/>
    <col min="3" max="3" width="29.7109375" style="100" customWidth="1"/>
    <col min="4" max="4" width="21.42578125" style="100" customWidth="1"/>
    <col min="5" max="5" width="17.42578125" style="100" customWidth="1"/>
    <col min="6" max="6" width="16.42578125" style="100" customWidth="1"/>
    <col min="7" max="7" width="17.140625" style="100" customWidth="1"/>
    <col min="8" max="8" width="16.85546875" style="100" bestFit="1" customWidth="1"/>
    <col min="9" max="16384" width="9.140625" style="100"/>
  </cols>
  <sheetData>
    <row r="1" spans="1:8" customFormat="1" ht="21.75" customHeight="1" x14ac:dyDescent="0.25">
      <c r="A1" s="87"/>
      <c r="B1" s="118" t="s">
        <v>0</v>
      </c>
      <c r="C1" s="119"/>
      <c r="D1" s="119"/>
      <c r="E1" s="119"/>
      <c r="F1" s="119"/>
      <c r="G1" s="120"/>
      <c r="H1" s="88"/>
    </row>
    <row r="2" spans="1:8" customFormat="1" ht="30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3"/>
      <c r="F2" s="4" t="s">
        <v>5</v>
      </c>
      <c r="G2" s="89"/>
      <c r="H2" s="6"/>
    </row>
    <row r="3" spans="1:8" customFormat="1" ht="30.6" customHeight="1" x14ac:dyDescent="0.25">
      <c r="A3" s="7">
        <v>1</v>
      </c>
      <c r="B3" s="8" t="s">
        <v>6</v>
      </c>
      <c r="C3" s="8"/>
      <c r="D3" s="9">
        <v>45931</v>
      </c>
      <c r="E3" s="9"/>
      <c r="F3" s="10">
        <f>548.46+550+5000</f>
        <v>6098.46</v>
      </c>
      <c r="G3" s="89"/>
      <c r="H3" s="6"/>
    </row>
    <row r="4" spans="1:8" customFormat="1" ht="30.6" customHeight="1" x14ac:dyDescent="0.25">
      <c r="A4" s="7">
        <v>2</v>
      </c>
      <c r="B4" s="8" t="s">
        <v>8</v>
      </c>
      <c r="C4" s="8" t="s">
        <v>9</v>
      </c>
      <c r="D4" s="9">
        <v>45931</v>
      </c>
      <c r="E4" s="9"/>
      <c r="F4" s="10">
        <v>39590</v>
      </c>
      <c r="G4" s="89"/>
      <c r="H4" s="11"/>
    </row>
    <row r="5" spans="1:8" customFormat="1" ht="30.6" customHeight="1" x14ac:dyDescent="0.25">
      <c r="A5" s="7">
        <v>3</v>
      </c>
      <c r="B5" s="8" t="s">
        <v>10</v>
      </c>
      <c r="C5" s="12" t="s">
        <v>11</v>
      </c>
      <c r="D5" s="9">
        <v>45931</v>
      </c>
      <c r="E5" s="9"/>
      <c r="F5" s="10">
        <f>40624.8+ 1114.2</f>
        <v>41739</v>
      </c>
      <c r="G5" s="89"/>
      <c r="H5" s="11"/>
    </row>
    <row r="6" spans="1:8" customFormat="1" ht="30.6" customHeight="1" x14ac:dyDescent="0.25">
      <c r="A6" s="7">
        <v>4</v>
      </c>
      <c r="B6" s="8" t="s">
        <v>189</v>
      </c>
      <c r="C6" s="12" t="s">
        <v>190</v>
      </c>
      <c r="D6" s="9">
        <v>45931</v>
      </c>
      <c r="E6" s="9"/>
      <c r="F6" s="10">
        <f>24000+3600</f>
        <v>27600</v>
      </c>
      <c r="G6" s="89"/>
      <c r="H6" s="11"/>
    </row>
    <row r="7" spans="1:8" customFormat="1" ht="30.6" customHeight="1" x14ac:dyDescent="0.25">
      <c r="A7" s="7">
        <v>5</v>
      </c>
      <c r="B7" s="8" t="s">
        <v>191</v>
      </c>
      <c r="C7" s="8"/>
      <c r="D7" s="9">
        <v>45931</v>
      </c>
      <c r="E7" s="9"/>
      <c r="F7" s="10">
        <v>300</v>
      </c>
      <c r="G7" s="89"/>
      <c r="H7" s="6"/>
    </row>
    <row r="8" spans="1:8" customFormat="1" ht="30.6" customHeight="1" x14ac:dyDescent="0.25">
      <c r="A8" s="7">
        <v>6</v>
      </c>
      <c r="B8" s="8" t="s">
        <v>12</v>
      </c>
      <c r="C8" s="8"/>
      <c r="D8" s="9">
        <v>45931</v>
      </c>
      <c r="E8" s="9"/>
      <c r="F8" s="10">
        <v>474.95</v>
      </c>
      <c r="G8" s="89"/>
      <c r="H8" s="6"/>
    </row>
    <row r="9" spans="1:8" customFormat="1" ht="30.6" customHeight="1" x14ac:dyDescent="0.25">
      <c r="A9" s="7">
        <v>7</v>
      </c>
      <c r="B9" s="8" t="s">
        <v>13</v>
      </c>
      <c r="C9" s="8" t="s">
        <v>14</v>
      </c>
      <c r="D9" s="9">
        <v>45931</v>
      </c>
      <c r="E9" s="9"/>
      <c r="F9" s="13">
        <v>1518</v>
      </c>
      <c r="G9" s="89"/>
      <c r="H9" s="6"/>
    </row>
    <row r="10" spans="1:8" customFormat="1" ht="30.6" customHeight="1" x14ac:dyDescent="0.25">
      <c r="A10" s="7">
        <v>8</v>
      </c>
      <c r="B10" s="8" t="s">
        <v>15</v>
      </c>
      <c r="C10" s="8" t="s">
        <v>16</v>
      </c>
      <c r="D10" s="9">
        <v>45931</v>
      </c>
      <c r="E10" s="9"/>
      <c r="F10" s="13">
        <v>2500</v>
      </c>
      <c r="G10" s="89"/>
      <c r="H10" s="6"/>
    </row>
    <row r="11" spans="1:8" customFormat="1" ht="34.5" customHeight="1" x14ac:dyDescent="0.25">
      <c r="A11" s="7">
        <v>9</v>
      </c>
      <c r="B11" s="14" t="s">
        <v>17</v>
      </c>
      <c r="C11" s="12" t="s">
        <v>18</v>
      </c>
      <c r="D11" s="9">
        <v>45931</v>
      </c>
      <c r="E11" s="9"/>
      <c r="F11" s="13">
        <v>2560</v>
      </c>
      <c r="G11" s="89"/>
      <c r="H11" s="6"/>
    </row>
    <row r="12" spans="1:8" customFormat="1" ht="30.6" customHeight="1" x14ac:dyDescent="0.25">
      <c r="A12" s="7">
        <v>10</v>
      </c>
      <c r="B12" s="14" t="s">
        <v>19</v>
      </c>
      <c r="C12" s="14" t="s">
        <v>20</v>
      </c>
      <c r="D12" s="9">
        <v>45931</v>
      </c>
      <c r="E12" s="9"/>
      <c r="F12" s="13">
        <v>174.36</v>
      </c>
      <c r="G12" s="89"/>
      <c r="H12" s="6"/>
    </row>
    <row r="13" spans="1:8" customFormat="1" ht="30.6" customHeight="1" x14ac:dyDescent="0.25">
      <c r="A13" s="7">
        <v>11</v>
      </c>
      <c r="B13" s="14" t="s">
        <v>149</v>
      </c>
      <c r="C13" s="14" t="s">
        <v>150</v>
      </c>
      <c r="D13" s="9">
        <v>45931</v>
      </c>
      <c r="E13" s="9"/>
      <c r="F13" s="13">
        <v>149.9</v>
      </c>
      <c r="G13" s="89"/>
      <c r="H13" s="6"/>
    </row>
    <row r="14" spans="1:8" customFormat="1" ht="30.6" customHeight="1" x14ac:dyDescent="0.25">
      <c r="A14" s="7">
        <v>12</v>
      </c>
      <c r="B14" s="14" t="s">
        <v>21</v>
      </c>
      <c r="C14" s="12" t="s">
        <v>22</v>
      </c>
      <c r="D14" s="9">
        <v>45931</v>
      </c>
      <c r="E14" s="9"/>
      <c r="F14" s="13">
        <v>385</v>
      </c>
      <c r="G14" s="89"/>
      <c r="H14" s="15"/>
    </row>
    <row r="15" spans="1:8" customFormat="1" ht="30.6" customHeight="1" x14ac:dyDescent="0.25">
      <c r="A15" s="7">
        <v>13</v>
      </c>
      <c r="B15" s="14" t="s">
        <v>23</v>
      </c>
      <c r="C15" s="8"/>
      <c r="D15" s="9">
        <v>45931</v>
      </c>
      <c r="E15" s="9"/>
      <c r="F15" s="13">
        <v>320</v>
      </c>
      <c r="G15" s="89"/>
      <c r="H15" s="6"/>
    </row>
    <row r="16" spans="1:8" customFormat="1" ht="31.5" customHeight="1" x14ac:dyDescent="0.25">
      <c r="A16" s="7">
        <v>14</v>
      </c>
      <c r="B16" s="14" t="s">
        <v>24</v>
      </c>
      <c r="C16" s="12" t="s">
        <v>25</v>
      </c>
      <c r="D16" s="9">
        <v>45931</v>
      </c>
      <c r="E16" s="9"/>
      <c r="F16" s="13">
        <v>257.89999999999998</v>
      </c>
      <c r="G16" s="89"/>
      <c r="H16" s="6"/>
    </row>
    <row r="17" spans="1:12" customFormat="1" ht="31.5" customHeight="1" x14ac:dyDescent="0.25">
      <c r="A17" s="7">
        <v>15</v>
      </c>
      <c r="B17" s="14" t="s">
        <v>171</v>
      </c>
      <c r="C17" s="12" t="s">
        <v>198</v>
      </c>
      <c r="D17" s="9">
        <v>45931</v>
      </c>
      <c r="E17" s="9"/>
      <c r="F17" s="13">
        <v>41.83</v>
      </c>
      <c r="G17" s="89"/>
      <c r="H17" s="6"/>
    </row>
    <row r="18" spans="1:12" customFormat="1" ht="42" customHeight="1" x14ac:dyDescent="0.25">
      <c r="A18" s="90"/>
      <c r="B18" s="91" t="s">
        <v>31</v>
      </c>
      <c r="C18" s="92"/>
      <c r="D18" s="2"/>
      <c r="E18" s="93"/>
      <c r="F18" s="94">
        <f>SUM(F3:F17)</f>
        <v>123709.39999999998</v>
      </c>
      <c r="G18" s="95"/>
      <c r="H18" s="6"/>
    </row>
    <row r="19" spans="1:12" customFormat="1" ht="21.75" customHeight="1" x14ac:dyDescent="0.25">
      <c r="A19" s="17" t="s">
        <v>32</v>
      </c>
      <c r="B19" s="17" t="s">
        <v>33</v>
      </c>
      <c r="C19" s="96" t="s">
        <v>34</v>
      </c>
      <c r="D19" s="17" t="s">
        <v>35</v>
      </c>
      <c r="E19" s="17" t="s">
        <v>36</v>
      </c>
      <c r="F19" s="17" t="s">
        <v>37</v>
      </c>
      <c r="G19" s="97" t="s">
        <v>38</v>
      </c>
      <c r="H19" s="96" t="s">
        <v>39</v>
      </c>
    </row>
    <row r="20" spans="1:12" s="27" customFormat="1" ht="15" customHeight="1" x14ac:dyDescent="0.25">
      <c r="A20" s="20" t="s">
        <v>40</v>
      </c>
      <c r="B20" s="21" t="s">
        <v>41</v>
      </c>
      <c r="C20" s="22" t="s">
        <v>42</v>
      </c>
      <c r="D20" s="23">
        <v>4016</v>
      </c>
      <c r="E20" s="24">
        <f>D20/$D$66</f>
        <v>1.261051708332556E-2</v>
      </c>
      <c r="F20" s="25">
        <f>$F$18*E20</f>
        <v>1560.0395020679548</v>
      </c>
      <c r="G20" s="26">
        <f>F20*5%</f>
        <v>78.00197510339774</v>
      </c>
      <c r="H20" s="26">
        <f t="shared" ref="H20:H65" si="0">F20+G20</f>
        <v>1638.0414771713527</v>
      </c>
    </row>
    <row r="21" spans="1:12" customFormat="1" x14ac:dyDescent="0.25">
      <c r="A21" s="20" t="s">
        <v>43</v>
      </c>
      <c r="B21" s="28" t="s">
        <v>44</v>
      </c>
      <c r="C21" s="22">
        <v>18778225000139</v>
      </c>
      <c r="D21" s="23">
        <v>8711.2199999999993</v>
      </c>
      <c r="E21" s="24">
        <f t="shared" ref="E21:E65" si="1">D21/$D$66</f>
        <v>2.7353831829334482E-2</v>
      </c>
      <c r="F21" s="25">
        <f t="shared" ref="F21:F65" si="2">$F$18*E21</f>
        <v>3383.9261233078705</v>
      </c>
      <c r="G21" s="26">
        <f t="shared" ref="G21:G65" si="3">F21*5%</f>
        <v>169.19630616539354</v>
      </c>
      <c r="H21" s="26">
        <f t="shared" si="0"/>
        <v>3553.1224294732642</v>
      </c>
    </row>
    <row r="22" spans="1:12" customFormat="1" x14ac:dyDescent="0.25">
      <c r="A22" s="20" t="s">
        <v>45</v>
      </c>
      <c r="B22" s="28" t="s">
        <v>46</v>
      </c>
      <c r="C22" s="22">
        <v>41993875000119</v>
      </c>
      <c r="D22" s="23">
        <v>3641.8</v>
      </c>
      <c r="E22" s="24">
        <f t="shared" si="1"/>
        <v>1.143550326545195E-2</v>
      </c>
      <c r="F22" s="25">
        <f t="shared" si="2"/>
        <v>1414.6792476671012</v>
      </c>
      <c r="G22" s="26">
        <f t="shared" si="3"/>
        <v>70.733962383355063</v>
      </c>
      <c r="H22" s="26">
        <f t="shared" si="0"/>
        <v>1485.4132100504562</v>
      </c>
    </row>
    <row r="23" spans="1:12" customFormat="1" x14ac:dyDescent="0.25">
      <c r="A23" s="20" t="s">
        <v>47</v>
      </c>
      <c r="B23" s="21" t="s">
        <v>48</v>
      </c>
      <c r="C23" s="22">
        <v>24781302000102</v>
      </c>
      <c r="D23" s="23">
        <v>3430</v>
      </c>
      <c r="E23" s="24">
        <f t="shared" si="1"/>
        <v>1.07704366523423E-2</v>
      </c>
      <c r="F23" s="25">
        <f t="shared" si="2"/>
        <v>1332.4042559992743</v>
      </c>
      <c r="G23" s="26">
        <f t="shared" si="3"/>
        <v>66.62021279996371</v>
      </c>
      <c r="H23" s="26">
        <f t="shared" si="0"/>
        <v>1399.0244687992379</v>
      </c>
    </row>
    <row r="24" spans="1:12" customFormat="1" x14ac:dyDescent="0.25">
      <c r="A24" s="20" t="s">
        <v>161</v>
      </c>
      <c r="B24" s="21" t="s">
        <v>162</v>
      </c>
      <c r="C24" s="22" t="s">
        <v>163</v>
      </c>
      <c r="D24" s="23">
        <v>9403</v>
      </c>
      <c r="E24" s="24">
        <f t="shared" si="1"/>
        <v>2.9526068758593187E-2</v>
      </c>
      <c r="F24" s="25">
        <f t="shared" si="2"/>
        <v>3652.6522504843074</v>
      </c>
      <c r="G24" s="26">
        <f t="shared" si="3"/>
        <v>182.63261252421538</v>
      </c>
      <c r="H24" s="26">
        <f t="shared" si="0"/>
        <v>3835.2848630085227</v>
      </c>
    </row>
    <row r="25" spans="1:12" customFormat="1" x14ac:dyDescent="0.25">
      <c r="A25" s="20" t="s">
        <v>49</v>
      </c>
      <c r="B25" s="21" t="s">
        <v>50</v>
      </c>
      <c r="C25" s="22">
        <v>38649716000197</v>
      </c>
      <c r="D25" s="23">
        <v>3440</v>
      </c>
      <c r="E25" s="24">
        <f t="shared" si="1"/>
        <v>1.0801837342290819E-2</v>
      </c>
      <c r="F25" s="25">
        <f t="shared" si="2"/>
        <v>1336.2888165123916</v>
      </c>
      <c r="G25" s="26">
        <f t="shared" si="3"/>
        <v>66.814440825619585</v>
      </c>
      <c r="H25" s="26">
        <f t="shared" si="0"/>
        <v>1403.1032573380112</v>
      </c>
    </row>
    <row r="26" spans="1:12" customFormat="1" x14ac:dyDescent="0.25">
      <c r="A26" s="20" t="s">
        <v>51</v>
      </c>
      <c r="B26" s="21" t="s">
        <v>52</v>
      </c>
      <c r="C26" s="22" t="s">
        <v>53</v>
      </c>
      <c r="D26" s="23">
        <v>4056</v>
      </c>
      <c r="E26" s="24">
        <f t="shared" si="1"/>
        <v>1.2736119843119641E-2</v>
      </c>
      <c r="F26" s="25">
        <f t="shared" si="2"/>
        <v>1575.5777441204245</v>
      </c>
      <c r="G26" s="26">
        <f t="shared" si="3"/>
        <v>78.778887206021238</v>
      </c>
      <c r="H26" s="26">
        <f t="shared" si="0"/>
        <v>1654.3566313264457</v>
      </c>
    </row>
    <row r="27" spans="1:12" customFormat="1" x14ac:dyDescent="0.25">
      <c r="A27" s="20" t="s">
        <v>54</v>
      </c>
      <c r="B27" s="21" t="s">
        <v>55</v>
      </c>
      <c r="C27" s="22" t="s">
        <v>56</v>
      </c>
      <c r="D27" s="23">
        <v>11580</v>
      </c>
      <c r="E27" s="24">
        <f t="shared" si="1"/>
        <v>3.6361998960385951E-2</v>
      </c>
      <c r="F27" s="25">
        <f t="shared" si="2"/>
        <v>4498.3210741899693</v>
      </c>
      <c r="G27" s="26">
        <f t="shared" si="3"/>
        <v>224.91605370949847</v>
      </c>
      <c r="H27" s="26">
        <f t="shared" si="0"/>
        <v>4723.2371278994679</v>
      </c>
    </row>
    <row r="28" spans="1:12" customFormat="1" x14ac:dyDescent="0.25">
      <c r="A28" s="20" t="s">
        <v>57</v>
      </c>
      <c r="B28" s="21" t="s">
        <v>58</v>
      </c>
      <c r="C28" s="22" t="s">
        <v>178</v>
      </c>
      <c r="D28" s="23">
        <f>360+360+1510</f>
        <v>2230</v>
      </c>
      <c r="E28" s="24">
        <f t="shared" si="1"/>
        <v>7.0023538585199203E-3</v>
      </c>
      <c r="F28" s="25">
        <f t="shared" si="2"/>
        <v>866.25699442518408</v>
      </c>
      <c r="G28" s="26">
        <f t="shared" si="3"/>
        <v>43.312849721259205</v>
      </c>
      <c r="H28" s="26">
        <f t="shared" si="0"/>
        <v>909.5698441464433</v>
      </c>
    </row>
    <row r="29" spans="1:12" s="33" customFormat="1" ht="15.75" customHeight="1" x14ac:dyDescent="0.25">
      <c r="A29" s="20" t="s">
        <v>60</v>
      </c>
      <c r="B29" s="29" t="s">
        <v>61</v>
      </c>
      <c r="C29" s="30" t="s">
        <v>62</v>
      </c>
      <c r="D29" s="23">
        <f>5224+3930</f>
        <v>9154</v>
      </c>
      <c r="E29" s="24">
        <f t="shared" si="1"/>
        <v>2.8744191578875044E-2</v>
      </c>
      <c r="F29" s="25">
        <f t="shared" si="2"/>
        <v>3555.9266937076836</v>
      </c>
      <c r="G29" s="26">
        <f t="shared" si="3"/>
        <v>177.79633468538418</v>
      </c>
      <c r="H29" s="31">
        <f t="shared" si="0"/>
        <v>3733.7230283930676</v>
      </c>
      <c r="I29" s="32" t="s">
        <v>63</v>
      </c>
      <c r="L29" s="33" t="s">
        <v>64</v>
      </c>
    </row>
    <row r="30" spans="1:12" customFormat="1" ht="15.75" customHeight="1" x14ac:dyDescent="0.25">
      <c r="A30" s="20" t="s">
        <v>65</v>
      </c>
      <c r="B30" s="28" t="s">
        <v>66</v>
      </c>
      <c r="C30" s="22" t="s">
        <v>67</v>
      </c>
      <c r="D30" s="23">
        <v>2610</v>
      </c>
      <c r="E30" s="24">
        <f t="shared" si="1"/>
        <v>8.195580076563673E-3</v>
      </c>
      <c r="F30" s="25">
        <f t="shared" si="2"/>
        <v>1013.8702939236459</v>
      </c>
      <c r="G30" s="26">
        <f t="shared" si="3"/>
        <v>50.693514696182298</v>
      </c>
      <c r="H30" s="26">
        <f t="shared" si="0"/>
        <v>1064.5638086198283</v>
      </c>
    </row>
    <row r="31" spans="1:12" customFormat="1" ht="15.75" customHeight="1" x14ac:dyDescent="0.25">
      <c r="A31" s="20" t="s">
        <v>68</v>
      </c>
      <c r="B31" s="28" t="s">
        <v>69</v>
      </c>
      <c r="C31" s="22" t="s">
        <v>70</v>
      </c>
      <c r="D31" s="23">
        <v>5515</v>
      </c>
      <c r="E31" s="24">
        <f t="shared" si="1"/>
        <v>1.7317480506608682E-2</v>
      </c>
      <c r="F31" s="25">
        <f t="shared" si="2"/>
        <v>2142.3351229842556</v>
      </c>
      <c r="G31" s="26">
        <f t="shared" si="3"/>
        <v>107.11675614921279</v>
      </c>
      <c r="H31" s="26">
        <f t="shared" si="0"/>
        <v>2249.4518791334685</v>
      </c>
    </row>
    <row r="32" spans="1:12" customFormat="1" ht="15.75" customHeight="1" x14ac:dyDescent="0.25">
      <c r="A32" s="20" t="s">
        <v>71</v>
      </c>
      <c r="B32" s="21" t="s">
        <v>72</v>
      </c>
      <c r="C32" s="22">
        <v>17202383000183</v>
      </c>
      <c r="D32" s="23">
        <v>15332</v>
      </c>
      <c r="E32" s="24">
        <f t="shared" si="1"/>
        <v>4.814353782907059E-2</v>
      </c>
      <c r="F32" s="25">
        <f t="shared" si="2"/>
        <v>5955.8081787116244</v>
      </c>
      <c r="G32" s="26">
        <f t="shared" si="3"/>
        <v>297.79040893558124</v>
      </c>
      <c r="H32" s="26">
        <f t="shared" si="0"/>
        <v>6253.5985876472059</v>
      </c>
    </row>
    <row r="33" spans="1:12" customFormat="1" ht="15.75" customHeight="1" x14ac:dyDescent="0.25">
      <c r="A33" s="20" t="s">
        <v>73</v>
      </c>
      <c r="B33" s="21" t="s">
        <v>74</v>
      </c>
      <c r="C33" s="22">
        <v>18183488000103</v>
      </c>
      <c r="D33" s="23">
        <v>7238</v>
      </c>
      <c r="E33" s="24">
        <f t="shared" si="1"/>
        <v>2.2727819384738647E-2</v>
      </c>
      <c r="F33" s="25">
        <f t="shared" si="2"/>
        <v>2811.6448993943868</v>
      </c>
      <c r="G33" s="26">
        <f t="shared" si="3"/>
        <v>140.58224496971934</v>
      </c>
      <c r="H33" s="26">
        <f t="shared" si="0"/>
        <v>2952.2271443641062</v>
      </c>
    </row>
    <row r="34" spans="1:12" customFormat="1" x14ac:dyDescent="0.25">
      <c r="A34" s="20" t="s">
        <v>75</v>
      </c>
      <c r="B34" s="21" t="s">
        <v>76</v>
      </c>
      <c r="C34" s="22">
        <v>18244070000150</v>
      </c>
      <c r="D34" s="23">
        <v>5941</v>
      </c>
      <c r="E34" s="24">
        <f t="shared" si="1"/>
        <v>1.8655149898415626E-2</v>
      </c>
      <c r="F34" s="25">
        <f t="shared" si="2"/>
        <v>2307.8174008430578</v>
      </c>
      <c r="G34" s="26">
        <f t="shared" si="3"/>
        <v>115.3908700421529</v>
      </c>
      <c r="H34" s="26">
        <f t="shared" si="0"/>
        <v>2423.2082708852108</v>
      </c>
    </row>
    <row r="35" spans="1:12" customFormat="1" x14ac:dyDescent="0.25">
      <c r="A35" s="20" t="s">
        <v>77</v>
      </c>
      <c r="B35" s="21" t="s">
        <v>78</v>
      </c>
      <c r="C35" s="22">
        <v>18244039000110</v>
      </c>
      <c r="D35" s="23">
        <v>4460</v>
      </c>
      <c r="E35" s="24">
        <f t="shared" si="1"/>
        <v>1.4004707717039841E-2</v>
      </c>
      <c r="F35" s="25">
        <f t="shared" si="2"/>
        <v>1732.5139888503682</v>
      </c>
      <c r="G35" s="26">
        <f t="shared" si="3"/>
        <v>86.62569944251841</v>
      </c>
      <c r="H35" s="26">
        <f t="shared" si="0"/>
        <v>1819.1396882928866</v>
      </c>
    </row>
    <row r="36" spans="1:12" customFormat="1" x14ac:dyDescent="0.25">
      <c r="A36" s="20" t="s">
        <v>79</v>
      </c>
      <c r="B36" s="21" t="s">
        <v>153</v>
      </c>
      <c r="C36" s="22" t="s">
        <v>154</v>
      </c>
      <c r="D36" s="23">
        <v>4415</v>
      </c>
      <c r="E36" s="24">
        <f t="shared" si="1"/>
        <v>1.3863404612271502E-2</v>
      </c>
      <c r="F36" s="25">
        <f t="shared" si="2"/>
        <v>1715.0334665413397</v>
      </c>
      <c r="G36" s="26">
        <f t="shared" si="3"/>
        <v>85.751673327066996</v>
      </c>
      <c r="H36" s="26">
        <f t="shared" si="0"/>
        <v>1800.7851398684068</v>
      </c>
    </row>
    <row r="37" spans="1:12" customFormat="1" x14ac:dyDescent="0.25">
      <c r="A37" s="20" t="s">
        <v>81</v>
      </c>
      <c r="B37" s="21" t="s">
        <v>82</v>
      </c>
      <c r="C37" s="22" t="s">
        <v>83</v>
      </c>
      <c r="D37" s="23">
        <v>8673</v>
      </c>
      <c r="E37" s="24">
        <f t="shared" si="1"/>
        <v>2.7233818392351242E-2</v>
      </c>
      <c r="F37" s="25">
        <f t="shared" si="2"/>
        <v>3369.0793330267361</v>
      </c>
      <c r="G37" s="26">
        <f t="shared" si="3"/>
        <v>168.45396665133683</v>
      </c>
      <c r="H37" s="26">
        <f t="shared" si="0"/>
        <v>3537.533299678073</v>
      </c>
    </row>
    <row r="38" spans="1:12" customFormat="1" x14ac:dyDescent="0.25">
      <c r="A38" s="20" t="s">
        <v>84</v>
      </c>
      <c r="B38" s="21" t="s">
        <v>155</v>
      </c>
      <c r="C38" s="22" t="s">
        <v>86</v>
      </c>
      <c r="D38" s="23">
        <v>9239</v>
      </c>
      <c r="E38" s="24">
        <f t="shared" si="1"/>
        <v>2.9011097443437463E-2</v>
      </c>
      <c r="F38" s="25">
        <f t="shared" si="2"/>
        <v>3588.9454580691818</v>
      </c>
      <c r="G38" s="26">
        <f t="shared" si="3"/>
        <v>179.44727290345909</v>
      </c>
      <c r="H38" s="26">
        <f t="shared" si="0"/>
        <v>3768.3927309726409</v>
      </c>
    </row>
    <row r="39" spans="1:12" customFormat="1" x14ac:dyDescent="0.25">
      <c r="A39" s="20" t="s">
        <v>87</v>
      </c>
      <c r="B39" s="21" t="s">
        <v>88</v>
      </c>
      <c r="C39" s="22" t="s">
        <v>89</v>
      </c>
      <c r="D39" s="23">
        <v>4892</v>
      </c>
      <c r="E39" s="24">
        <f t="shared" si="1"/>
        <v>1.5361217522815896E-2</v>
      </c>
      <c r="F39" s="25">
        <f t="shared" si="2"/>
        <v>1900.3270030170406</v>
      </c>
      <c r="G39" s="26">
        <f t="shared" si="3"/>
        <v>95.016350150852034</v>
      </c>
      <c r="H39" s="26">
        <f t="shared" si="0"/>
        <v>1995.3433531678927</v>
      </c>
    </row>
    <row r="40" spans="1:12" customFormat="1" x14ac:dyDescent="0.25">
      <c r="A40" s="20" t="s">
        <v>90</v>
      </c>
      <c r="B40" s="21" t="s">
        <v>91</v>
      </c>
      <c r="C40" s="22">
        <v>41497649000147</v>
      </c>
      <c r="D40" s="23">
        <v>2526</v>
      </c>
      <c r="E40" s="24">
        <f t="shared" si="1"/>
        <v>7.9318142809961072E-3</v>
      </c>
      <c r="F40" s="25">
        <f t="shared" si="2"/>
        <v>981.23998561345968</v>
      </c>
      <c r="G40" s="26">
        <f t="shared" si="3"/>
        <v>49.061999280672985</v>
      </c>
      <c r="H40" s="26">
        <f t="shared" si="0"/>
        <v>1030.3019848941326</v>
      </c>
    </row>
    <row r="41" spans="1:12" customFormat="1" x14ac:dyDescent="0.25">
      <c r="A41" s="20" t="s">
        <v>92</v>
      </c>
      <c r="B41" s="21" t="s">
        <v>93</v>
      </c>
      <c r="C41" s="22">
        <v>40580071000125</v>
      </c>
      <c r="D41" s="23">
        <v>3600</v>
      </c>
      <c r="E41" s="24">
        <f t="shared" si="1"/>
        <v>1.1304248381467137E-2</v>
      </c>
      <c r="F41" s="25">
        <f t="shared" si="2"/>
        <v>1398.4417847222703</v>
      </c>
      <c r="G41" s="26">
        <f t="shared" si="3"/>
        <v>69.922089236113521</v>
      </c>
      <c r="H41" s="26">
        <f t="shared" si="0"/>
        <v>1468.3638739583839</v>
      </c>
      <c r="I41" s="32" t="s">
        <v>63</v>
      </c>
      <c r="L41" t="s">
        <v>94</v>
      </c>
    </row>
    <row r="42" spans="1:12" customFormat="1" x14ac:dyDescent="0.25">
      <c r="A42" s="20" t="s">
        <v>95</v>
      </c>
      <c r="B42" s="21" t="s">
        <v>96</v>
      </c>
      <c r="C42" s="22" t="s">
        <v>97</v>
      </c>
      <c r="D42" s="23">
        <v>3938</v>
      </c>
      <c r="E42" s="24">
        <f t="shared" si="1"/>
        <v>1.2365591701727106E-2</v>
      </c>
      <c r="F42" s="25">
        <f t="shared" si="2"/>
        <v>1529.7399300656389</v>
      </c>
      <c r="G42" s="26">
        <f t="shared" si="3"/>
        <v>76.486996503281944</v>
      </c>
      <c r="H42" s="26">
        <f t="shared" si="0"/>
        <v>1606.2269265689208</v>
      </c>
    </row>
    <row r="43" spans="1:12" customFormat="1" x14ac:dyDescent="0.25">
      <c r="A43" s="20" t="s">
        <v>98</v>
      </c>
      <c r="B43" s="21" t="s">
        <v>167</v>
      </c>
      <c r="C43" s="22" t="s">
        <v>168</v>
      </c>
      <c r="D43" s="23">
        <v>3707</v>
      </c>
      <c r="E43" s="24">
        <f t="shared" si="1"/>
        <v>1.1640235763916299E-2</v>
      </c>
      <c r="F43" s="25">
        <f t="shared" si="2"/>
        <v>1440.0065822126267</v>
      </c>
      <c r="G43" s="26">
        <f t="shared" si="3"/>
        <v>72.000329110631341</v>
      </c>
      <c r="H43" s="26">
        <f t="shared" si="0"/>
        <v>1512.006911323258</v>
      </c>
    </row>
    <row r="44" spans="1:12" customFormat="1" x14ac:dyDescent="0.25">
      <c r="A44" s="20" t="s">
        <v>100</v>
      </c>
      <c r="B44" s="21" t="s">
        <v>101</v>
      </c>
      <c r="C44" s="22">
        <v>42109766000159</v>
      </c>
      <c r="D44" s="23">
        <v>5117</v>
      </c>
      <c r="E44" s="24">
        <f t="shared" si="1"/>
        <v>1.6067733046657592E-2</v>
      </c>
      <c r="F44" s="25">
        <f t="shared" si="2"/>
        <v>1987.7296145621824</v>
      </c>
      <c r="G44" s="26">
        <f t="shared" si="3"/>
        <v>99.38648072810912</v>
      </c>
      <c r="H44" s="26">
        <f t="shared" si="0"/>
        <v>2087.1160952902915</v>
      </c>
    </row>
    <row r="45" spans="1:12" customFormat="1" x14ac:dyDescent="0.25">
      <c r="A45" s="20" t="s">
        <v>102</v>
      </c>
      <c r="B45" s="21" t="s">
        <v>99</v>
      </c>
      <c r="C45" s="22">
        <v>18788190000119</v>
      </c>
      <c r="D45" s="23">
        <v>14717</v>
      </c>
      <c r="E45" s="24">
        <f t="shared" si="1"/>
        <v>4.6212395397236622E-2</v>
      </c>
      <c r="F45" s="25">
        <f t="shared" si="2"/>
        <v>5716.9077071549036</v>
      </c>
      <c r="G45" s="26">
        <f t="shared" si="3"/>
        <v>285.84538535774522</v>
      </c>
      <c r="H45" s="26">
        <f t="shared" si="0"/>
        <v>6002.7530925126484</v>
      </c>
    </row>
    <row r="46" spans="1:12" customFormat="1" ht="13.5" customHeight="1" x14ac:dyDescent="0.25">
      <c r="A46" s="20" t="s">
        <v>103</v>
      </c>
      <c r="B46" s="21" t="s">
        <v>104</v>
      </c>
      <c r="C46" s="22">
        <v>32302613000170</v>
      </c>
      <c r="D46" s="23">
        <v>5439</v>
      </c>
      <c r="E46" s="24">
        <f t="shared" si="1"/>
        <v>1.7078835262999931E-2</v>
      </c>
      <c r="F46" s="25">
        <f t="shared" si="2"/>
        <v>2112.8124630845632</v>
      </c>
      <c r="G46" s="26">
        <f t="shared" si="3"/>
        <v>105.64062315422817</v>
      </c>
      <c r="H46" s="26">
        <f t="shared" si="0"/>
        <v>2218.4530862387915</v>
      </c>
    </row>
    <row r="47" spans="1:12" customFormat="1" x14ac:dyDescent="0.25">
      <c r="A47" s="20" t="s">
        <v>105</v>
      </c>
      <c r="B47" s="21" t="s">
        <v>106</v>
      </c>
      <c r="C47" s="22">
        <v>28616552000148</v>
      </c>
      <c r="D47" s="23">
        <v>4123.71</v>
      </c>
      <c r="E47" s="24">
        <f t="shared" si="1"/>
        <v>1.2948733914761068E-2</v>
      </c>
      <c r="F47" s="25">
        <f t="shared" si="2"/>
        <v>1601.8801033547425</v>
      </c>
      <c r="G47" s="26">
        <f t="shared" si="3"/>
        <v>80.094005167737123</v>
      </c>
      <c r="H47" s="26">
        <f t="shared" si="0"/>
        <v>1681.9741085224796</v>
      </c>
    </row>
    <row r="48" spans="1:12" customFormat="1" x14ac:dyDescent="0.25">
      <c r="A48" s="20" t="s">
        <v>107</v>
      </c>
      <c r="B48" s="21" t="s">
        <v>108</v>
      </c>
      <c r="C48" s="22">
        <v>42579914000107</v>
      </c>
      <c r="D48" s="23">
        <v>4986.3599999999997</v>
      </c>
      <c r="E48" s="24">
        <f t="shared" si="1"/>
        <v>1.5657514433170129E-2</v>
      </c>
      <c r="F48" s="25">
        <f t="shared" si="2"/>
        <v>1936.9817160188165</v>
      </c>
      <c r="G48" s="26">
        <f t="shared" si="3"/>
        <v>96.849085800940827</v>
      </c>
      <c r="H48" s="26">
        <f t="shared" si="0"/>
        <v>2033.8308018197574</v>
      </c>
    </row>
    <row r="49" spans="1:10" customFormat="1" x14ac:dyDescent="0.25">
      <c r="A49" s="20" t="s">
        <v>199</v>
      </c>
      <c r="B49" s="21" t="s">
        <v>200</v>
      </c>
      <c r="C49" s="22" t="s">
        <v>201</v>
      </c>
      <c r="D49" s="23">
        <v>3946</v>
      </c>
      <c r="E49" s="24">
        <f t="shared" si="1"/>
        <v>1.2390712253685921E-2</v>
      </c>
      <c r="F49" s="25">
        <f t="shared" si="2"/>
        <v>1532.8475784761329</v>
      </c>
      <c r="G49" s="26">
        <f t="shared" si="3"/>
        <v>76.642378923806646</v>
      </c>
      <c r="H49" s="26">
        <f t="shared" si="0"/>
        <v>1609.4899573999396</v>
      </c>
      <c r="J49" s="44"/>
    </row>
    <row r="50" spans="1:10" customFormat="1" x14ac:dyDescent="0.25">
      <c r="A50" s="20" t="s">
        <v>202</v>
      </c>
      <c r="B50" s="21" t="s">
        <v>203</v>
      </c>
      <c r="C50" s="22" t="s">
        <v>204</v>
      </c>
      <c r="D50" s="23">
        <v>3516</v>
      </c>
      <c r="E50" s="24">
        <f t="shared" si="1"/>
        <v>1.1040482585899569E-2</v>
      </c>
      <c r="F50" s="25">
        <f t="shared" si="2"/>
        <v>1365.8114764120839</v>
      </c>
      <c r="G50" s="26">
        <f t="shared" si="3"/>
        <v>68.290573820604195</v>
      </c>
      <c r="H50" s="26">
        <f t="shared" si="0"/>
        <v>1434.102050232688</v>
      </c>
      <c r="J50" s="44"/>
    </row>
    <row r="51" spans="1:10" customFormat="1" x14ac:dyDescent="0.25">
      <c r="A51" s="20" t="s">
        <v>112</v>
      </c>
      <c r="B51" s="57" t="s">
        <v>205</v>
      </c>
      <c r="C51" s="58" t="s">
        <v>206</v>
      </c>
      <c r="D51" s="23">
        <v>5525</v>
      </c>
      <c r="E51" s="24">
        <f t="shared" si="1"/>
        <v>1.7348881196557201E-2</v>
      </c>
      <c r="F51" s="25">
        <f t="shared" si="2"/>
        <v>2146.2196834973729</v>
      </c>
      <c r="G51" s="26">
        <f t="shared" si="3"/>
        <v>107.31098417486865</v>
      </c>
      <c r="H51" s="26">
        <f t="shared" si="0"/>
        <v>2253.5306676722416</v>
      </c>
    </row>
    <row r="52" spans="1:10" customFormat="1" x14ac:dyDescent="0.25">
      <c r="A52" s="20" t="s">
        <v>186</v>
      </c>
      <c r="B52" s="21" t="s">
        <v>187</v>
      </c>
      <c r="C52" s="22" t="s">
        <v>188</v>
      </c>
      <c r="D52" s="23">
        <v>6188.23</v>
      </c>
      <c r="E52" s="24">
        <f t="shared" si="1"/>
        <v>1.943146915601288E-2</v>
      </c>
      <c r="F52" s="25">
        <f t="shared" si="2"/>
        <v>2403.8553904088594</v>
      </c>
      <c r="G52" s="26">
        <f>F52*5%</f>
        <v>120.19276952044298</v>
      </c>
      <c r="H52" s="26">
        <f>F52+G52</f>
        <v>2524.0481599293025</v>
      </c>
    </row>
    <row r="53" spans="1:10" customFormat="1" x14ac:dyDescent="0.25">
      <c r="A53" s="20" t="s">
        <v>115</v>
      </c>
      <c r="B53" s="21" t="s">
        <v>116</v>
      </c>
      <c r="C53" s="22">
        <v>26480299000112</v>
      </c>
      <c r="D53" s="23"/>
      <c r="E53" s="24">
        <f t="shared" si="1"/>
        <v>0</v>
      </c>
      <c r="F53" s="25">
        <f t="shared" si="2"/>
        <v>0</v>
      </c>
      <c r="G53" s="26">
        <f t="shared" si="3"/>
        <v>0</v>
      </c>
      <c r="H53" s="26">
        <f t="shared" si="0"/>
        <v>0</v>
      </c>
    </row>
    <row r="54" spans="1:10" customFormat="1" x14ac:dyDescent="0.25">
      <c r="A54" s="20" t="s">
        <v>179</v>
      </c>
      <c r="B54" s="21" t="s">
        <v>180</v>
      </c>
      <c r="C54" s="22" t="s">
        <v>181</v>
      </c>
      <c r="D54" s="23">
        <v>11302</v>
      </c>
      <c r="E54" s="24">
        <f t="shared" si="1"/>
        <v>3.5489059779817103E-2</v>
      </c>
      <c r="F54" s="25">
        <f t="shared" si="2"/>
        <v>4390.3302919253056</v>
      </c>
      <c r="G54" s="26">
        <f t="shared" si="3"/>
        <v>219.5165145962653</v>
      </c>
      <c r="H54" s="26">
        <f t="shared" si="0"/>
        <v>4609.8468065215711</v>
      </c>
    </row>
    <row r="55" spans="1:10" customFormat="1" x14ac:dyDescent="0.25">
      <c r="A55" s="20" t="s">
        <v>117</v>
      </c>
      <c r="B55" s="21" t="s">
        <v>118</v>
      </c>
      <c r="C55" s="22" t="s">
        <v>119</v>
      </c>
      <c r="D55" s="23">
        <v>4943</v>
      </c>
      <c r="E55" s="24">
        <f t="shared" si="1"/>
        <v>1.5521361041553348E-2</v>
      </c>
      <c r="F55" s="25">
        <f t="shared" si="2"/>
        <v>1920.1382616339395</v>
      </c>
      <c r="G55" s="26">
        <f t="shared" si="3"/>
        <v>96.006913081696979</v>
      </c>
      <c r="H55" s="26">
        <f t="shared" si="0"/>
        <v>2016.1451747156364</v>
      </c>
    </row>
    <row r="56" spans="1:10" customFormat="1" x14ac:dyDescent="0.25">
      <c r="A56" s="20" t="s">
        <v>120</v>
      </c>
      <c r="B56" s="21" t="s">
        <v>121</v>
      </c>
      <c r="C56" s="22">
        <v>12997366000166</v>
      </c>
      <c r="D56" s="23">
        <v>5160</v>
      </c>
      <c r="E56" s="24">
        <f t="shared" si="1"/>
        <v>1.620275601343623E-2</v>
      </c>
      <c r="F56" s="25">
        <f t="shared" si="2"/>
        <v>2004.4332247685877</v>
      </c>
      <c r="G56" s="26">
        <f t="shared" si="3"/>
        <v>100.22166123842939</v>
      </c>
      <c r="H56" s="26">
        <f t="shared" si="0"/>
        <v>2104.654886007017</v>
      </c>
    </row>
    <row r="57" spans="1:10" customFormat="1" ht="16.5" customHeight="1" x14ac:dyDescent="0.25">
      <c r="A57" s="20" t="s">
        <v>122</v>
      </c>
      <c r="B57" s="21" t="s">
        <v>123</v>
      </c>
      <c r="C57" s="22" t="s">
        <v>124</v>
      </c>
      <c r="D57" s="23">
        <v>6586</v>
      </c>
      <c r="E57" s="24">
        <f t="shared" si="1"/>
        <v>2.0680494400095156E-2</v>
      </c>
      <c r="F57" s="25">
        <f t="shared" si="2"/>
        <v>2558.3715539391314</v>
      </c>
      <c r="G57" s="26">
        <f t="shared" si="3"/>
        <v>127.91857769695658</v>
      </c>
      <c r="H57" s="26">
        <f t="shared" si="0"/>
        <v>2686.2901316360881</v>
      </c>
    </row>
    <row r="58" spans="1:10" customFormat="1" x14ac:dyDescent="0.25">
      <c r="A58" s="20" t="s">
        <v>125</v>
      </c>
      <c r="B58" s="86" t="s">
        <v>126</v>
      </c>
      <c r="C58" s="22">
        <v>11884518000151</v>
      </c>
      <c r="D58" s="23">
        <v>5644</v>
      </c>
      <c r="E58" s="24">
        <f t="shared" si="1"/>
        <v>1.7722549406944586E-2</v>
      </c>
      <c r="F58" s="25">
        <f t="shared" si="2"/>
        <v>2192.4459536034701</v>
      </c>
      <c r="G58" s="26">
        <f t="shared" si="3"/>
        <v>109.62229768017352</v>
      </c>
      <c r="H58" s="26">
        <f t="shared" si="0"/>
        <v>2302.0682512836438</v>
      </c>
    </row>
    <row r="59" spans="1:10" s="63" customFormat="1" x14ac:dyDescent="0.25">
      <c r="A59" s="56" t="s">
        <v>147</v>
      </c>
      <c r="B59" s="57" t="s">
        <v>148</v>
      </c>
      <c r="C59" s="58">
        <v>41142377000162</v>
      </c>
      <c r="D59" s="59">
        <v>1134.82</v>
      </c>
      <c r="E59" s="60">
        <f t="shared" si="1"/>
        <v>3.5634130967379263E-3</v>
      </c>
      <c r="F59" s="61">
        <f t="shared" si="2"/>
        <v>440.82769614959074</v>
      </c>
      <c r="G59" s="62">
        <f t="shared" si="3"/>
        <v>22.041384807479538</v>
      </c>
      <c r="H59" s="62">
        <f t="shared" si="0"/>
        <v>462.86908095707025</v>
      </c>
    </row>
    <row r="60" spans="1:10" customFormat="1" x14ac:dyDescent="0.25">
      <c r="A60" s="20" t="s">
        <v>127</v>
      </c>
      <c r="B60" s="86" t="s">
        <v>128</v>
      </c>
      <c r="C60" s="22">
        <v>36188051000136</v>
      </c>
      <c r="D60" s="23">
        <v>6936</v>
      </c>
      <c r="E60" s="24">
        <f t="shared" si="1"/>
        <v>2.1779518548293349E-2</v>
      </c>
      <c r="F60" s="25">
        <f t="shared" si="2"/>
        <v>2694.3311718982409</v>
      </c>
      <c r="G60" s="26">
        <f t="shared" si="3"/>
        <v>134.71655859491204</v>
      </c>
      <c r="H60" s="26">
        <f t="shared" si="0"/>
        <v>2829.0477304931528</v>
      </c>
    </row>
    <row r="61" spans="1:10" customFormat="1" x14ac:dyDescent="0.25">
      <c r="A61" s="20" t="s">
        <v>129</v>
      </c>
      <c r="B61" s="86" t="s">
        <v>130</v>
      </c>
      <c r="C61" s="22" t="s">
        <v>131</v>
      </c>
      <c r="D61" s="23">
        <f>7425*40%</f>
        <v>2970</v>
      </c>
      <c r="E61" s="24">
        <f t="shared" si="1"/>
        <v>9.3260049147103879E-3</v>
      </c>
      <c r="F61" s="25">
        <f t="shared" si="2"/>
        <v>1153.7144723958731</v>
      </c>
      <c r="G61" s="26">
        <f t="shared" si="3"/>
        <v>57.685723619793663</v>
      </c>
      <c r="H61" s="26">
        <f t="shared" si="0"/>
        <v>1211.4001960156668</v>
      </c>
    </row>
    <row r="62" spans="1:10" customFormat="1" x14ac:dyDescent="0.25">
      <c r="A62" s="20" t="s">
        <v>132</v>
      </c>
      <c r="B62" s="86" t="s">
        <v>133</v>
      </c>
      <c r="C62" s="22">
        <v>18741082000190</v>
      </c>
      <c r="D62" s="23">
        <v>12183</v>
      </c>
      <c r="E62" s="24">
        <f t="shared" si="1"/>
        <v>3.8255460564281703E-2</v>
      </c>
      <c r="F62" s="25">
        <f t="shared" si="2"/>
        <v>4732.5600731309505</v>
      </c>
      <c r="G62" s="26">
        <f t="shared" si="3"/>
        <v>236.62800365654755</v>
      </c>
      <c r="H62" s="26">
        <f t="shared" si="0"/>
        <v>4969.1880767874982</v>
      </c>
    </row>
    <row r="63" spans="1:10" customFormat="1" x14ac:dyDescent="0.25">
      <c r="A63" s="20" t="s">
        <v>134</v>
      </c>
      <c r="B63" s="86" t="s">
        <v>135</v>
      </c>
      <c r="C63" s="22" t="s">
        <v>136</v>
      </c>
      <c r="D63" s="23">
        <v>4814</v>
      </c>
      <c r="E63" s="24">
        <f t="shared" si="1"/>
        <v>1.5116292141217442E-2</v>
      </c>
      <c r="F63" s="25">
        <f t="shared" si="2"/>
        <v>1870.0274310147247</v>
      </c>
      <c r="G63" s="26">
        <f t="shared" si="3"/>
        <v>93.501371550736238</v>
      </c>
      <c r="H63" s="26">
        <f t="shared" si="0"/>
        <v>1963.5288025654609</v>
      </c>
    </row>
    <row r="64" spans="1:10" customFormat="1" x14ac:dyDescent="0.25">
      <c r="A64" s="20" t="s">
        <v>137</v>
      </c>
      <c r="B64" s="86" t="s">
        <v>138</v>
      </c>
      <c r="C64" s="22" t="s">
        <v>139</v>
      </c>
      <c r="D64" s="23">
        <v>3476.86</v>
      </c>
      <c r="E64" s="24">
        <f t="shared" si="1"/>
        <v>1.0917580285441063E-2</v>
      </c>
      <c r="F64" s="25">
        <f t="shared" si="2"/>
        <v>1350.6073065637424</v>
      </c>
      <c r="G64" s="26">
        <f t="shared" si="3"/>
        <v>67.530365328187131</v>
      </c>
      <c r="H64" s="26">
        <f t="shared" si="0"/>
        <v>1418.1376718919296</v>
      </c>
    </row>
    <row r="65" spans="1:8" customFormat="1" x14ac:dyDescent="0.25">
      <c r="A65" s="20" t="s">
        <v>140</v>
      </c>
      <c r="B65" s="28" t="s">
        <v>141</v>
      </c>
      <c r="C65" s="22">
        <v>11884518000151</v>
      </c>
      <c r="D65" s="23">
        <f>81377.44-14717-3314-9239+4126.33-9403+9177.57</f>
        <v>58008.340000000004</v>
      </c>
      <c r="E65" s="24">
        <f t="shared" si="1"/>
        <v>0.18215018987683204</v>
      </c>
      <c r="F65" s="25">
        <f t="shared" si="2"/>
        <v>22533.690699548963</v>
      </c>
      <c r="G65" s="26">
        <f t="shared" si="3"/>
        <v>1126.6845349774483</v>
      </c>
      <c r="H65" s="26">
        <f t="shared" si="0"/>
        <v>23660.375234526411</v>
      </c>
    </row>
    <row r="66" spans="1:8" customFormat="1" x14ac:dyDescent="0.25">
      <c r="A66" s="34"/>
      <c r="B66" s="35"/>
      <c r="C66" s="36" t="s">
        <v>142</v>
      </c>
      <c r="D66" s="37">
        <f>SUM(D20:D65)</f>
        <v>318464.34000000003</v>
      </c>
      <c r="E66" s="38">
        <f>SUM(E20:E65)</f>
        <v>0.99999999999999989</v>
      </c>
      <c r="F66" s="98">
        <f>SUM(F20:F65)</f>
        <v>123709.39999999997</v>
      </c>
      <c r="G66" s="98">
        <f>SUM(G20:G65)</f>
        <v>6185.4699999999993</v>
      </c>
      <c r="H66" s="99">
        <f>SUM(H20:H65)</f>
        <v>129894.86999999998</v>
      </c>
    </row>
    <row r="67" spans="1:8" customFormat="1" x14ac:dyDescent="0.25">
      <c r="D67" s="44"/>
      <c r="F67" s="41"/>
    </row>
    <row r="68" spans="1:8" customFormat="1" x14ac:dyDescent="0.25">
      <c r="F68" s="41"/>
    </row>
    <row r="69" spans="1:8" customFormat="1" x14ac:dyDescent="0.25">
      <c r="D69" s="44"/>
      <c r="E69" s="41"/>
      <c r="H69" s="42"/>
    </row>
    <row r="70" spans="1:8" customFormat="1" x14ac:dyDescent="0.25">
      <c r="E70" s="41"/>
    </row>
    <row r="71" spans="1:8" customFormat="1" x14ac:dyDescent="0.25"/>
    <row r="72" spans="1:8" customFormat="1" x14ac:dyDescent="0.25"/>
    <row r="73" spans="1:8" customFormat="1" x14ac:dyDescent="0.25"/>
    <row r="74" spans="1:8" customFormat="1" x14ac:dyDescent="0.25"/>
    <row r="75" spans="1:8" customFormat="1" x14ac:dyDescent="0.25"/>
    <row r="76" spans="1:8" customFormat="1" x14ac:dyDescent="0.25"/>
    <row r="77" spans="1:8" customFormat="1" x14ac:dyDescent="0.25"/>
    <row r="78" spans="1:8" customFormat="1" x14ac:dyDescent="0.25"/>
    <row r="79" spans="1:8" customFormat="1" x14ac:dyDescent="0.25"/>
    <row r="80" spans="1:8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spans="1:8" customFormat="1" x14ac:dyDescent="0.25"/>
    <row r="146" spans="1:8" customFormat="1" x14ac:dyDescent="0.25"/>
    <row r="147" spans="1:8" customFormat="1" x14ac:dyDescent="0.25"/>
    <row r="148" spans="1:8" customFormat="1" x14ac:dyDescent="0.25"/>
    <row r="149" spans="1:8" customFormat="1" x14ac:dyDescent="0.25"/>
    <row r="150" spans="1:8" customFormat="1" x14ac:dyDescent="0.25">
      <c r="A150" s="100"/>
      <c r="B150" s="100"/>
      <c r="C150" s="100"/>
      <c r="D150" s="100"/>
      <c r="E150" s="100"/>
    </row>
    <row r="151" spans="1:8" x14ac:dyDescent="0.25">
      <c r="F151"/>
      <c r="G151"/>
      <c r="H151"/>
    </row>
    <row r="152" spans="1:8" x14ac:dyDescent="0.25">
      <c r="F152"/>
      <c r="G152"/>
      <c r="H152"/>
    </row>
    <row r="153" spans="1:8" x14ac:dyDescent="0.25">
      <c r="F153"/>
      <c r="G153"/>
      <c r="H153"/>
    </row>
    <row r="154" spans="1:8" x14ac:dyDescent="0.25">
      <c r="F154"/>
      <c r="G154"/>
      <c r="H154"/>
    </row>
    <row r="155" spans="1:8" x14ac:dyDescent="0.25">
      <c r="F155"/>
      <c r="G155"/>
      <c r="H155"/>
    </row>
    <row r="156" spans="1:8" x14ac:dyDescent="0.25">
      <c r="F156"/>
      <c r="G156"/>
      <c r="H156"/>
    </row>
    <row r="157" spans="1:8" x14ac:dyDescent="0.25">
      <c r="F157"/>
      <c r="G157"/>
      <c r="H157"/>
    </row>
    <row r="158" spans="1:8" x14ac:dyDescent="0.25">
      <c r="F158"/>
      <c r="G158"/>
      <c r="H158"/>
    </row>
    <row r="159" spans="1:8" x14ac:dyDescent="0.25">
      <c r="F159"/>
      <c r="G159"/>
      <c r="H159"/>
    </row>
    <row r="160" spans="1:8" x14ac:dyDescent="0.25">
      <c r="F160"/>
      <c r="G160"/>
      <c r="H160"/>
    </row>
    <row r="161" spans="6:8" x14ac:dyDescent="0.25">
      <c r="F161"/>
      <c r="G161"/>
      <c r="H161"/>
    </row>
    <row r="162" spans="6:8" x14ac:dyDescent="0.25">
      <c r="F162"/>
      <c r="G162"/>
      <c r="H162"/>
    </row>
    <row r="163" spans="6:8" x14ac:dyDescent="0.25">
      <c r="F163"/>
      <c r="G163"/>
      <c r="H163"/>
    </row>
    <row r="164" spans="6:8" x14ac:dyDescent="0.25">
      <c r="F164"/>
      <c r="G164"/>
      <c r="H164"/>
    </row>
    <row r="165" spans="6:8" x14ac:dyDescent="0.25">
      <c r="F165"/>
      <c r="G165"/>
      <c r="H165"/>
    </row>
    <row r="166" spans="6:8" x14ac:dyDescent="0.25">
      <c r="F166"/>
      <c r="G166"/>
      <c r="H166"/>
    </row>
    <row r="167" spans="6:8" x14ac:dyDescent="0.25">
      <c r="F167"/>
      <c r="G167"/>
      <c r="H167"/>
    </row>
    <row r="168" spans="6:8" x14ac:dyDescent="0.25">
      <c r="F168"/>
      <c r="G168"/>
      <c r="H168"/>
    </row>
    <row r="169" spans="6:8" x14ac:dyDescent="0.25">
      <c r="F169"/>
      <c r="G169"/>
      <c r="H169"/>
    </row>
    <row r="170" spans="6:8" x14ac:dyDescent="0.25">
      <c r="F170"/>
      <c r="G170"/>
      <c r="H170"/>
    </row>
    <row r="171" spans="6:8" x14ac:dyDescent="0.25">
      <c r="F171"/>
      <c r="G171"/>
      <c r="H171"/>
    </row>
    <row r="172" spans="6:8" x14ac:dyDescent="0.25">
      <c r="F172"/>
      <c r="G172"/>
      <c r="H172"/>
    </row>
    <row r="173" spans="6:8" x14ac:dyDescent="0.25">
      <c r="F173"/>
      <c r="G173"/>
      <c r="H173"/>
    </row>
    <row r="174" spans="6:8" x14ac:dyDescent="0.25">
      <c r="F174"/>
      <c r="G174"/>
      <c r="H174"/>
    </row>
    <row r="175" spans="6:8" x14ac:dyDescent="0.25">
      <c r="F175"/>
      <c r="G175"/>
      <c r="H175"/>
    </row>
    <row r="176" spans="6:8" x14ac:dyDescent="0.25">
      <c r="F176"/>
      <c r="G176"/>
      <c r="H176"/>
    </row>
    <row r="177" spans="6:8" x14ac:dyDescent="0.25">
      <c r="F177"/>
      <c r="G177"/>
      <c r="H177"/>
    </row>
    <row r="178" spans="6:8" x14ac:dyDescent="0.25">
      <c r="F178"/>
      <c r="G178"/>
      <c r="H178"/>
    </row>
    <row r="179" spans="6:8" x14ac:dyDescent="0.25">
      <c r="F179"/>
      <c r="G179"/>
      <c r="H179"/>
    </row>
    <row r="180" spans="6:8" x14ac:dyDescent="0.25">
      <c r="F180"/>
      <c r="G180"/>
      <c r="H180"/>
    </row>
    <row r="181" spans="6:8" x14ac:dyDescent="0.25">
      <c r="F181"/>
      <c r="G181"/>
      <c r="H181"/>
    </row>
    <row r="182" spans="6:8" x14ac:dyDescent="0.25">
      <c r="F182"/>
      <c r="G182"/>
      <c r="H182"/>
    </row>
    <row r="183" spans="6:8" x14ac:dyDescent="0.25">
      <c r="F183"/>
      <c r="G183"/>
      <c r="H183"/>
    </row>
    <row r="184" spans="6:8" x14ac:dyDescent="0.25">
      <c r="F184"/>
      <c r="G184"/>
      <c r="H184"/>
    </row>
    <row r="185" spans="6:8" x14ac:dyDescent="0.25">
      <c r="F185"/>
      <c r="G185"/>
      <c r="H185"/>
    </row>
    <row r="186" spans="6:8" x14ac:dyDescent="0.25">
      <c r="F186"/>
      <c r="G186"/>
      <c r="H186"/>
    </row>
    <row r="187" spans="6:8" x14ac:dyDescent="0.25">
      <c r="F187"/>
      <c r="G187"/>
      <c r="H187"/>
    </row>
    <row r="188" spans="6:8" x14ac:dyDescent="0.25">
      <c r="F188"/>
      <c r="G188"/>
      <c r="H188"/>
    </row>
    <row r="189" spans="6:8" x14ac:dyDescent="0.25">
      <c r="F189"/>
      <c r="G189"/>
      <c r="H189"/>
    </row>
    <row r="190" spans="6:8" x14ac:dyDescent="0.25">
      <c r="F190"/>
      <c r="G190"/>
      <c r="H190"/>
    </row>
    <row r="191" spans="6:8" x14ac:dyDescent="0.25">
      <c r="F191"/>
      <c r="G191"/>
      <c r="H191"/>
    </row>
    <row r="192" spans="6:8" x14ac:dyDescent="0.25">
      <c r="F192"/>
      <c r="G192"/>
      <c r="H192"/>
    </row>
    <row r="193" spans="6:8" x14ac:dyDescent="0.25">
      <c r="F193"/>
      <c r="G193"/>
      <c r="H193"/>
    </row>
    <row r="194" spans="6:8" x14ac:dyDescent="0.25">
      <c r="F194"/>
      <c r="G194"/>
      <c r="H194"/>
    </row>
    <row r="195" spans="6:8" x14ac:dyDescent="0.25">
      <c r="F195"/>
      <c r="G195"/>
      <c r="H195"/>
    </row>
    <row r="196" spans="6:8" x14ac:dyDescent="0.25">
      <c r="F196"/>
      <c r="G196"/>
      <c r="H196"/>
    </row>
    <row r="197" spans="6:8" x14ac:dyDescent="0.25">
      <c r="F197"/>
      <c r="G197"/>
      <c r="H197"/>
    </row>
    <row r="198" spans="6:8" x14ac:dyDescent="0.25">
      <c r="F198"/>
      <c r="G198"/>
      <c r="H198"/>
    </row>
    <row r="199" spans="6:8" x14ac:dyDescent="0.25">
      <c r="F199"/>
      <c r="G199"/>
      <c r="H199"/>
    </row>
    <row r="200" spans="6:8" x14ac:dyDescent="0.25">
      <c r="F200"/>
      <c r="G200"/>
      <c r="H200"/>
    </row>
    <row r="201" spans="6:8" x14ac:dyDescent="0.25">
      <c r="F201"/>
      <c r="G201"/>
      <c r="H201"/>
    </row>
    <row r="202" spans="6:8" x14ac:dyDescent="0.25">
      <c r="F202"/>
      <c r="G202"/>
      <c r="H202"/>
    </row>
    <row r="203" spans="6:8" x14ac:dyDescent="0.25">
      <c r="F203"/>
      <c r="G203"/>
      <c r="H203"/>
    </row>
    <row r="204" spans="6:8" x14ac:dyDescent="0.25">
      <c r="F204"/>
      <c r="G204"/>
      <c r="H204"/>
    </row>
    <row r="205" spans="6:8" x14ac:dyDescent="0.25">
      <c r="F205"/>
      <c r="G205"/>
      <c r="H205"/>
    </row>
    <row r="206" spans="6:8" x14ac:dyDescent="0.25">
      <c r="F206"/>
      <c r="G206"/>
      <c r="H206"/>
    </row>
    <row r="207" spans="6:8" x14ac:dyDescent="0.25">
      <c r="F207"/>
      <c r="G207"/>
      <c r="H207"/>
    </row>
    <row r="208" spans="6:8" x14ac:dyDescent="0.25">
      <c r="F208"/>
      <c r="G208"/>
      <c r="H208"/>
    </row>
    <row r="209" spans="6:8" x14ac:dyDescent="0.25">
      <c r="F209"/>
      <c r="G209"/>
      <c r="H209"/>
    </row>
    <row r="210" spans="6:8" x14ac:dyDescent="0.25">
      <c r="F210"/>
      <c r="G210"/>
      <c r="H210"/>
    </row>
    <row r="211" spans="6:8" x14ac:dyDescent="0.25">
      <c r="F211"/>
      <c r="G211"/>
      <c r="H211"/>
    </row>
    <row r="212" spans="6:8" x14ac:dyDescent="0.25">
      <c r="F212"/>
      <c r="G212"/>
      <c r="H212"/>
    </row>
    <row r="213" spans="6:8" x14ac:dyDescent="0.25">
      <c r="F213"/>
      <c r="G213"/>
      <c r="H213"/>
    </row>
    <row r="214" spans="6:8" x14ac:dyDescent="0.25">
      <c r="F214"/>
      <c r="G214"/>
      <c r="H214"/>
    </row>
    <row r="215" spans="6:8" x14ac:dyDescent="0.25">
      <c r="F215"/>
      <c r="G215"/>
      <c r="H215"/>
    </row>
    <row r="216" spans="6:8" x14ac:dyDescent="0.25">
      <c r="F216"/>
      <c r="G216"/>
      <c r="H216"/>
    </row>
    <row r="217" spans="6:8" x14ac:dyDescent="0.25">
      <c r="F217"/>
      <c r="G217"/>
      <c r="H217"/>
    </row>
    <row r="218" spans="6:8" x14ac:dyDescent="0.25">
      <c r="F218"/>
      <c r="G218"/>
      <c r="H218"/>
    </row>
    <row r="219" spans="6:8" x14ac:dyDescent="0.25">
      <c r="F219"/>
      <c r="G219"/>
      <c r="H219"/>
    </row>
    <row r="220" spans="6:8" x14ac:dyDescent="0.25">
      <c r="F220"/>
      <c r="G220"/>
      <c r="H220"/>
    </row>
    <row r="221" spans="6:8" x14ac:dyDescent="0.25">
      <c r="F221"/>
      <c r="G221"/>
      <c r="H221"/>
    </row>
    <row r="222" spans="6:8" x14ac:dyDescent="0.25">
      <c r="F222"/>
      <c r="G222"/>
      <c r="H222"/>
    </row>
    <row r="223" spans="6:8" x14ac:dyDescent="0.25">
      <c r="F223"/>
      <c r="G223"/>
      <c r="H223"/>
    </row>
    <row r="224" spans="6:8" x14ac:dyDescent="0.25">
      <c r="F224"/>
      <c r="G224"/>
      <c r="H224"/>
    </row>
    <row r="225" spans="6:8" x14ac:dyDescent="0.25">
      <c r="F225"/>
      <c r="G225"/>
      <c r="H225"/>
    </row>
    <row r="226" spans="6:8" x14ac:dyDescent="0.25">
      <c r="F226"/>
      <c r="G226"/>
      <c r="H226"/>
    </row>
    <row r="227" spans="6:8" x14ac:dyDescent="0.25">
      <c r="F227"/>
      <c r="G227"/>
      <c r="H227"/>
    </row>
    <row r="228" spans="6:8" x14ac:dyDescent="0.25">
      <c r="F228"/>
      <c r="G228"/>
      <c r="H228"/>
    </row>
    <row r="229" spans="6:8" x14ac:dyDescent="0.25">
      <c r="F229"/>
      <c r="G229"/>
      <c r="H229"/>
    </row>
    <row r="230" spans="6:8" x14ac:dyDescent="0.25">
      <c r="F230"/>
      <c r="G230"/>
      <c r="H230"/>
    </row>
    <row r="231" spans="6:8" x14ac:dyDescent="0.25">
      <c r="F231"/>
      <c r="G231"/>
      <c r="H231"/>
    </row>
    <row r="232" spans="6:8" x14ac:dyDescent="0.25">
      <c r="G232"/>
      <c r="H232"/>
    </row>
  </sheetData>
  <mergeCells count="1">
    <mergeCell ref="B1:G1"/>
  </mergeCells>
  <pageMargins left="0.511811024" right="0.511811024" top="0.78740157499999996" bottom="0.78740157499999996" header="0.31496062000000002" footer="0.31496062000000002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4EA8E-EAF0-4753-A472-B5019504E559}">
  <dimension ref="A1:L230"/>
  <sheetViews>
    <sheetView topLeftCell="C31" zoomScaleNormal="100" workbookViewId="0">
      <selection activeCell="D63" sqref="D63"/>
    </sheetView>
  </sheetViews>
  <sheetFormatPr defaultColWidth="9.140625" defaultRowHeight="15" x14ac:dyDescent="0.25"/>
  <cols>
    <col min="1" max="1" width="29.5703125" style="100" customWidth="1"/>
    <col min="2" max="2" width="45.28515625" style="100" customWidth="1"/>
    <col min="3" max="3" width="29.7109375" style="100" customWidth="1"/>
    <col min="4" max="4" width="21.42578125" style="100" customWidth="1"/>
    <col min="5" max="5" width="17.42578125" style="100" customWidth="1"/>
    <col min="6" max="6" width="16.42578125" style="100" customWidth="1"/>
    <col min="7" max="7" width="17.140625" style="100" customWidth="1"/>
    <col min="8" max="8" width="16.85546875" style="100" bestFit="1" customWidth="1"/>
    <col min="9" max="9" width="44.140625" style="100" bestFit="1" customWidth="1"/>
    <col min="10" max="10" width="15.42578125" style="100" bestFit="1" customWidth="1"/>
    <col min="11" max="16384" width="9.140625" style="100"/>
  </cols>
  <sheetData>
    <row r="1" spans="1:8" customFormat="1" ht="21.75" customHeight="1" x14ac:dyDescent="0.25">
      <c r="A1" s="87"/>
      <c r="B1" s="118" t="s">
        <v>0</v>
      </c>
      <c r="C1" s="119"/>
      <c r="D1" s="119"/>
      <c r="E1" s="119"/>
      <c r="F1" s="119"/>
      <c r="G1" s="120"/>
      <c r="H1" s="88"/>
    </row>
    <row r="2" spans="1:8" customFormat="1" ht="30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3"/>
      <c r="F2" s="4" t="s">
        <v>5</v>
      </c>
      <c r="G2" s="89"/>
      <c r="H2" s="6"/>
    </row>
    <row r="3" spans="1:8" customFormat="1" ht="30.6" customHeight="1" x14ac:dyDescent="0.25">
      <c r="A3" s="7">
        <v>1</v>
      </c>
      <c r="B3" s="8" t="s">
        <v>6</v>
      </c>
      <c r="C3" s="8"/>
      <c r="D3" s="9">
        <v>45962</v>
      </c>
      <c r="E3" s="9"/>
      <c r="F3" s="10">
        <f>548.46+566.29+5000</f>
        <v>6114.75</v>
      </c>
      <c r="G3" s="89"/>
      <c r="H3" s="6"/>
    </row>
    <row r="4" spans="1:8" customFormat="1" ht="30.6" customHeight="1" x14ac:dyDescent="0.25">
      <c r="A4" s="7">
        <v>2</v>
      </c>
      <c r="B4" s="8" t="s">
        <v>8</v>
      </c>
      <c r="C4" s="8" t="s">
        <v>9</v>
      </c>
      <c r="D4" s="9">
        <v>45962</v>
      </c>
      <c r="E4" s="9"/>
      <c r="F4" s="10">
        <v>39590</v>
      </c>
      <c r="G4" s="89"/>
      <c r="H4" s="11"/>
    </row>
    <row r="5" spans="1:8" customFormat="1" ht="30.6" customHeight="1" x14ac:dyDescent="0.25">
      <c r="A5" s="7">
        <v>3</v>
      </c>
      <c r="B5" s="8" t="s">
        <v>10</v>
      </c>
      <c r="C5" s="12" t="s">
        <v>11</v>
      </c>
      <c r="D5" s="9">
        <v>45962</v>
      </c>
      <c r="E5" s="9"/>
      <c r="F5" s="10">
        <f>40624.8</f>
        <v>40624.800000000003</v>
      </c>
      <c r="G5" s="89"/>
      <c r="H5" s="11"/>
    </row>
    <row r="6" spans="1:8" customFormat="1" ht="30.6" customHeight="1" x14ac:dyDescent="0.25">
      <c r="A6" s="7">
        <v>4</v>
      </c>
      <c r="B6" s="8" t="s">
        <v>189</v>
      </c>
      <c r="C6" s="12" t="s">
        <v>190</v>
      </c>
      <c r="D6" s="9">
        <v>45962</v>
      </c>
      <c r="E6" s="9"/>
      <c r="F6" s="10">
        <f>24000+3600</f>
        <v>27600</v>
      </c>
      <c r="G6" s="89"/>
      <c r="H6" s="11"/>
    </row>
    <row r="7" spans="1:8" customFormat="1" ht="30.6" customHeight="1" x14ac:dyDescent="0.25">
      <c r="A7" s="7">
        <v>5</v>
      </c>
      <c r="B7" s="8" t="s">
        <v>191</v>
      </c>
      <c r="C7" s="8"/>
      <c r="D7" s="9">
        <v>45962</v>
      </c>
      <c r="E7" s="9"/>
      <c r="F7" s="10">
        <v>300</v>
      </c>
      <c r="G7" s="89"/>
      <c r="H7" s="6"/>
    </row>
    <row r="8" spans="1:8" customFormat="1" ht="30.6" customHeight="1" x14ac:dyDescent="0.25">
      <c r="A8" s="7">
        <v>6</v>
      </c>
      <c r="B8" s="8" t="s">
        <v>12</v>
      </c>
      <c r="C8" s="8"/>
      <c r="D8" s="9">
        <v>45962</v>
      </c>
      <c r="E8" s="9"/>
      <c r="F8" s="10">
        <v>436.2</v>
      </c>
      <c r="G8" s="89"/>
      <c r="H8" s="6"/>
    </row>
    <row r="9" spans="1:8" customFormat="1" ht="30.6" customHeight="1" x14ac:dyDescent="0.25">
      <c r="A9" s="7">
        <v>7</v>
      </c>
      <c r="B9" s="8" t="s">
        <v>13</v>
      </c>
      <c r="C9" s="8" t="s">
        <v>14</v>
      </c>
      <c r="D9" s="9">
        <v>45962</v>
      </c>
      <c r="E9" s="9"/>
      <c r="F9" s="13">
        <v>1518</v>
      </c>
      <c r="G9" s="89"/>
      <c r="H9" s="6"/>
    </row>
    <row r="10" spans="1:8" customFormat="1" ht="30.6" customHeight="1" x14ac:dyDescent="0.25">
      <c r="A10" s="7">
        <v>8</v>
      </c>
      <c r="B10" s="8" t="s">
        <v>15</v>
      </c>
      <c r="C10" s="8" t="s">
        <v>16</v>
      </c>
      <c r="D10" s="9">
        <v>45962</v>
      </c>
      <c r="E10" s="9"/>
      <c r="F10" s="13">
        <v>2500</v>
      </c>
      <c r="G10" s="89"/>
      <c r="H10" s="6"/>
    </row>
    <row r="11" spans="1:8" customFormat="1" ht="34.5" customHeight="1" x14ac:dyDescent="0.25">
      <c r="A11" s="7">
        <v>9</v>
      </c>
      <c r="B11" s="14" t="s">
        <v>17</v>
      </c>
      <c r="C11" s="12" t="s">
        <v>18</v>
      </c>
      <c r="D11" s="9">
        <v>45962</v>
      </c>
      <c r="E11" s="9"/>
      <c r="F11" s="13">
        <v>1274</v>
      </c>
      <c r="G11" s="89"/>
      <c r="H11" s="6"/>
    </row>
    <row r="12" spans="1:8" customFormat="1" ht="30.6" customHeight="1" x14ac:dyDescent="0.25">
      <c r="A12" s="7">
        <v>10</v>
      </c>
      <c r="B12" s="14" t="s">
        <v>19</v>
      </c>
      <c r="C12" s="14" t="s">
        <v>20</v>
      </c>
      <c r="D12" s="9">
        <v>45962</v>
      </c>
      <c r="E12" s="9"/>
      <c r="F12" s="13">
        <v>227.24</v>
      </c>
      <c r="G12" s="89"/>
      <c r="H12" s="6"/>
    </row>
    <row r="13" spans="1:8" customFormat="1" ht="30.6" customHeight="1" x14ac:dyDescent="0.25">
      <c r="A13" s="7">
        <v>11</v>
      </c>
      <c r="B13" s="14" t="s">
        <v>149</v>
      </c>
      <c r="C13" s="14" t="s">
        <v>150</v>
      </c>
      <c r="D13" s="9">
        <v>45962</v>
      </c>
      <c r="E13" s="9"/>
      <c r="F13" s="13">
        <v>149.9</v>
      </c>
      <c r="G13" s="89"/>
      <c r="H13" s="6"/>
    </row>
    <row r="14" spans="1:8" customFormat="1" ht="30.6" customHeight="1" x14ac:dyDescent="0.25">
      <c r="A14" s="7">
        <v>12</v>
      </c>
      <c r="B14" s="14" t="s">
        <v>21</v>
      </c>
      <c r="C14" s="12" t="s">
        <v>22</v>
      </c>
      <c r="D14" s="9">
        <v>45962</v>
      </c>
      <c r="E14" s="9"/>
      <c r="F14" s="13">
        <v>539</v>
      </c>
      <c r="G14" s="89"/>
      <c r="H14" s="15"/>
    </row>
    <row r="15" spans="1:8" customFormat="1" ht="30.6" customHeight="1" x14ac:dyDescent="0.25">
      <c r="A15" s="7">
        <v>13</v>
      </c>
      <c r="B15" s="14" t="s">
        <v>23</v>
      </c>
      <c r="C15" s="8"/>
      <c r="D15" s="9">
        <v>45962</v>
      </c>
      <c r="E15" s="9"/>
      <c r="F15" s="13"/>
      <c r="G15" s="89"/>
      <c r="H15" s="6"/>
    </row>
    <row r="16" spans="1:8" customFormat="1" ht="31.5" customHeight="1" x14ac:dyDescent="0.25">
      <c r="A16" s="7">
        <v>14</v>
      </c>
      <c r="B16" s="14" t="s">
        <v>24</v>
      </c>
      <c r="C16" s="12" t="s">
        <v>25</v>
      </c>
      <c r="D16" s="9">
        <v>45962</v>
      </c>
      <c r="E16" s="9"/>
      <c r="F16" s="13">
        <v>248.7</v>
      </c>
      <c r="G16" s="89"/>
      <c r="H16" s="6"/>
    </row>
    <row r="17" spans="1:10" customFormat="1" ht="31.5" customHeight="1" x14ac:dyDescent="0.25">
      <c r="A17" s="7">
        <v>15</v>
      </c>
      <c r="B17" s="14" t="s">
        <v>208</v>
      </c>
      <c r="C17" s="12" t="s">
        <v>209</v>
      </c>
      <c r="D17" s="9">
        <v>45962</v>
      </c>
      <c r="E17" s="9"/>
      <c r="F17" s="13">
        <v>917.71</v>
      </c>
      <c r="G17" s="89"/>
      <c r="H17" s="6"/>
    </row>
    <row r="18" spans="1:10" customFormat="1" ht="42" customHeight="1" x14ac:dyDescent="0.25">
      <c r="A18" s="90"/>
      <c r="B18" s="91" t="s">
        <v>31</v>
      </c>
      <c r="C18" s="92"/>
      <c r="D18" s="2"/>
      <c r="E18" s="93"/>
      <c r="F18" s="94">
        <f>SUM(F3:F17)</f>
        <v>122040.3</v>
      </c>
      <c r="G18" s="95"/>
      <c r="H18" s="6"/>
    </row>
    <row r="19" spans="1:10" customFormat="1" ht="21.75" customHeight="1" x14ac:dyDescent="0.25">
      <c r="A19" s="17" t="s">
        <v>32</v>
      </c>
      <c r="B19" s="17" t="s">
        <v>33</v>
      </c>
      <c r="C19" s="96" t="s">
        <v>34</v>
      </c>
      <c r="D19" s="17" t="s">
        <v>35</v>
      </c>
      <c r="E19" s="17" t="s">
        <v>36</v>
      </c>
      <c r="F19" s="17" t="s">
        <v>37</v>
      </c>
      <c r="G19" s="97" t="s">
        <v>38</v>
      </c>
      <c r="H19" s="96" t="s">
        <v>39</v>
      </c>
    </row>
    <row r="20" spans="1:10" s="104" customFormat="1" ht="15" customHeight="1" x14ac:dyDescent="0.25">
      <c r="A20" s="20" t="s">
        <v>40</v>
      </c>
      <c r="B20" s="86" t="s">
        <v>41</v>
      </c>
      <c r="C20" s="30" t="s">
        <v>42</v>
      </c>
      <c r="D20" s="23">
        <v>4016</v>
      </c>
      <c r="E20" s="24">
        <f>D20/$D$64</f>
        <v>1.2655614264944527E-2</v>
      </c>
      <c r="F20" s="25">
        <f>$F$18*E20</f>
        <v>1544.4949615781097</v>
      </c>
      <c r="G20" s="31">
        <f>F20*5%</f>
        <v>77.224748078905492</v>
      </c>
      <c r="H20" s="31">
        <f t="shared" ref="H20:H63" si="0">F20+G20</f>
        <v>1621.7197096570153</v>
      </c>
    </row>
    <row r="21" spans="1:10" s="33" customFormat="1" x14ac:dyDescent="0.25">
      <c r="A21" s="20" t="s">
        <v>43</v>
      </c>
      <c r="B21" s="29" t="s">
        <v>44</v>
      </c>
      <c r="C21" s="30">
        <v>18778225000139</v>
      </c>
      <c r="D21" s="23">
        <v>8711.2199999999993</v>
      </c>
      <c r="E21" s="24">
        <f t="shared" ref="E21:E63" si="1">D21/$D$64</f>
        <v>2.7451653410625016E-2</v>
      </c>
      <c r="F21" s="25">
        <f t="shared" ref="F21:F63" si="2">$F$18*E21</f>
        <v>3350.2080177287003</v>
      </c>
      <c r="G21" s="31">
        <f t="shared" ref="G21:G63" si="3">F21*5%</f>
        <v>167.51040088643504</v>
      </c>
      <c r="H21" s="31">
        <f t="shared" si="0"/>
        <v>3517.7184186151353</v>
      </c>
    </row>
    <row r="22" spans="1:10" s="33" customFormat="1" x14ac:dyDescent="0.25">
      <c r="A22" s="20" t="s">
        <v>45</v>
      </c>
      <c r="B22" s="29" t="s">
        <v>46</v>
      </c>
      <c r="C22" s="30">
        <v>41993875000119</v>
      </c>
      <c r="D22" s="23">
        <v>3641.8</v>
      </c>
      <c r="E22" s="24">
        <f t="shared" si="1"/>
        <v>1.1476398413863293E-2</v>
      </c>
      <c r="F22" s="25">
        <f t="shared" si="2"/>
        <v>1400.5831053474005</v>
      </c>
      <c r="G22" s="31">
        <f t="shared" si="3"/>
        <v>70.029155267370029</v>
      </c>
      <c r="H22" s="31">
        <f t="shared" si="0"/>
        <v>1470.6122606147705</v>
      </c>
    </row>
    <row r="23" spans="1:10" s="33" customFormat="1" x14ac:dyDescent="0.25">
      <c r="A23" s="20" t="s">
        <v>47</v>
      </c>
      <c r="B23" s="86" t="s">
        <v>48</v>
      </c>
      <c r="C23" s="30">
        <v>24781302000102</v>
      </c>
      <c r="D23" s="23">
        <v>3430</v>
      </c>
      <c r="E23" s="24">
        <f t="shared" si="1"/>
        <v>1.0808953418515869E-2</v>
      </c>
      <c r="F23" s="25">
        <f t="shared" si="2"/>
        <v>1319.1279178817022</v>
      </c>
      <c r="G23" s="31">
        <f t="shared" si="3"/>
        <v>65.956395894085105</v>
      </c>
      <c r="H23" s="31">
        <f t="shared" si="0"/>
        <v>1385.0843137757872</v>
      </c>
    </row>
    <row r="24" spans="1:10" s="33" customFormat="1" x14ac:dyDescent="0.25">
      <c r="A24" s="20" t="s">
        <v>161</v>
      </c>
      <c r="B24" s="86" t="s">
        <v>162</v>
      </c>
      <c r="C24" s="30" t="s">
        <v>163</v>
      </c>
      <c r="D24" s="23">
        <v>9403</v>
      </c>
      <c r="E24" s="24">
        <f t="shared" si="1"/>
        <v>2.9631658598922656E-2</v>
      </c>
      <c r="F24" s="25">
        <f t="shared" si="2"/>
        <v>3616.2565049101008</v>
      </c>
      <c r="G24" s="31">
        <f t="shared" si="3"/>
        <v>180.81282524550505</v>
      </c>
      <c r="H24" s="31">
        <f t="shared" si="0"/>
        <v>3797.0693301556057</v>
      </c>
    </row>
    <row r="25" spans="1:10" s="33" customFormat="1" x14ac:dyDescent="0.25">
      <c r="A25" s="20" t="s">
        <v>49</v>
      </c>
      <c r="B25" s="86" t="s">
        <v>50</v>
      </c>
      <c r="C25" s="30">
        <v>38649716000197</v>
      </c>
      <c r="D25" s="23">
        <v>3440</v>
      </c>
      <c r="E25" s="24">
        <f t="shared" si="1"/>
        <v>1.084046640224332E-2</v>
      </c>
      <c r="F25" s="25">
        <f t="shared" si="2"/>
        <v>1322.9737718696956</v>
      </c>
      <c r="G25" s="31">
        <f t="shared" si="3"/>
        <v>66.148688593484778</v>
      </c>
      <c r="H25" s="31">
        <f t="shared" si="0"/>
        <v>1389.1224604631805</v>
      </c>
    </row>
    <row r="26" spans="1:10" s="33" customFormat="1" x14ac:dyDescent="0.25">
      <c r="A26" s="20" t="s">
        <v>51</v>
      </c>
      <c r="B26" s="86" t="s">
        <v>52</v>
      </c>
      <c r="C26" s="30" t="s">
        <v>53</v>
      </c>
      <c r="D26" s="23">
        <v>4056</v>
      </c>
      <c r="E26" s="24">
        <f t="shared" si="1"/>
        <v>1.2781666199854333E-2</v>
      </c>
      <c r="F26" s="25">
        <f t="shared" si="2"/>
        <v>1559.8783775300828</v>
      </c>
      <c r="G26" s="31">
        <f t="shared" si="3"/>
        <v>77.993918876504154</v>
      </c>
      <c r="H26" s="31">
        <f t="shared" si="0"/>
        <v>1637.8722964065869</v>
      </c>
    </row>
    <row r="27" spans="1:10" s="33" customFormat="1" x14ac:dyDescent="0.25">
      <c r="A27" s="20" t="s">
        <v>54</v>
      </c>
      <c r="B27" s="86" t="s">
        <v>55</v>
      </c>
      <c r="C27" s="30" t="s">
        <v>56</v>
      </c>
      <c r="D27" s="23">
        <v>11580</v>
      </c>
      <c r="E27" s="24">
        <f t="shared" si="1"/>
        <v>3.6492035156388852E-2</v>
      </c>
      <c r="F27" s="25">
        <f t="shared" si="2"/>
        <v>4453.498918096243</v>
      </c>
      <c r="G27" s="31">
        <f t="shared" si="3"/>
        <v>222.67494590481215</v>
      </c>
      <c r="H27" s="31">
        <f t="shared" si="0"/>
        <v>4676.1738640010553</v>
      </c>
    </row>
    <row r="28" spans="1:10" s="33" customFormat="1" x14ac:dyDescent="0.25">
      <c r="A28" s="20" t="s">
        <v>57</v>
      </c>
      <c r="B28" s="86" t="s">
        <v>58</v>
      </c>
      <c r="C28" s="30" t="s">
        <v>178</v>
      </c>
      <c r="D28" s="23">
        <f>360+360+1510</f>
        <v>2230</v>
      </c>
      <c r="E28" s="24">
        <f t="shared" si="1"/>
        <v>7.0273953712216876E-3</v>
      </c>
      <c r="F28" s="25">
        <f t="shared" si="2"/>
        <v>857.62543932250617</v>
      </c>
      <c r="G28" s="31">
        <f t="shared" si="3"/>
        <v>42.881271966125311</v>
      </c>
      <c r="H28" s="31">
        <f t="shared" si="0"/>
        <v>900.50671128863144</v>
      </c>
    </row>
    <row r="29" spans="1:10" s="33" customFormat="1" ht="15.75" customHeight="1" x14ac:dyDescent="0.25">
      <c r="A29" s="20" t="s">
        <v>60</v>
      </c>
      <c r="B29" s="29" t="s">
        <v>61</v>
      </c>
      <c r="C29" s="30" t="s">
        <v>62</v>
      </c>
      <c r="D29" s="23">
        <f>5224+3930</f>
        <v>9154</v>
      </c>
      <c r="E29" s="24">
        <f t="shared" si="1"/>
        <v>2.8846985304109115E-2</v>
      </c>
      <c r="F29" s="25">
        <f t="shared" si="2"/>
        <v>3520.4947406090678</v>
      </c>
      <c r="G29" s="31">
        <f t="shared" si="3"/>
        <v>176.02473703045339</v>
      </c>
      <c r="H29" s="31">
        <f t="shared" si="0"/>
        <v>3696.519477639521</v>
      </c>
      <c r="I29" s="105" t="s">
        <v>63</v>
      </c>
      <c r="J29" s="33" t="s">
        <v>64</v>
      </c>
    </row>
    <row r="30" spans="1:10" s="33" customFormat="1" ht="15.75" customHeight="1" x14ac:dyDescent="0.25">
      <c r="A30" s="20" t="s">
        <v>65</v>
      </c>
      <c r="B30" s="29" t="s">
        <v>66</v>
      </c>
      <c r="C30" s="30" t="s">
        <v>67</v>
      </c>
      <c r="D30" s="23">
        <v>2610</v>
      </c>
      <c r="E30" s="24">
        <f t="shared" si="1"/>
        <v>8.2248887528648448E-3</v>
      </c>
      <c r="F30" s="25">
        <f t="shared" si="2"/>
        <v>1003.7678908662515</v>
      </c>
      <c r="G30" s="31">
        <f t="shared" si="3"/>
        <v>50.188394543312576</v>
      </c>
      <c r="H30" s="31">
        <f t="shared" si="0"/>
        <v>1053.9562854095641</v>
      </c>
    </row>
    <row r="31" spans="1:10" s="33" customFormat="1" ht="15.75" customHeight="1" x14ac:dyDescent="0.25">
      <c r="A31" s="20" t="s">
        <v>68</v>
      </c>
      <c r="B31" s="29" t="s">
        <v>69</v>
      </c>
      <c r="C31" s="30" t="s">
        <v>70</v>
      </c>
      <c r="D31" s="23">
        <v>5515</v>
      </c>
      <c r="E31" s="24">
        <f t="shared" si="1"/>
        <v>1.7379410525689511E-2</v>
      </c>
      <c r="F31" s="25">
        <f t="shared" si="2"/>
        <v>2120.9884743783055</v>
      </c>
      <c r="G31" s="31">
        <f t="shared" si="3"/>
        <v>106.04942371891528</v>
      </c>
      <c r="H31" s="31">
        <f t="shared" si="0"/>
        <v>2227.0378980972209</v>
      </c>
    </row>
    <row r="32" spans="1:10" s="33" customFormat="1" ht="15.75" customHeight="1" x14ac:dyDescent="0.25">
      <c r="A32" s="20" t="s">
        <v>71</v>
      </c>
      <c r="B32" s="86" t="s">
        <v>72</v>
      </c>
      <c r="C32" s="30">
        <v>17202383000183</v>
      </c>
      <c r="D32" s="23">
        <v>15332</v>
      </c>
      <c r="E32" s="24">
        <f t="shared" si="1"/>
        <v>4.8315706650928658E-2</v>
      </c>
      <c r="F32" s="25">
        <f t="shared" si="2"/>
        <v>5896.4633343913292</v>
      </c>
      <c r="G32" s="31">
        <f t="shared" si="3"/>
        <v>294.82316671956647</v>
      </c>
      <c r="H32" s="31">
        <f t="shared" si="0"/>
        <v>6191.2865011108961</v>
      </c>
    </row>
    <row r="33" spans="1:12" s="33" customFormat="1" ht="15.75" customHeight="1" x14ac:dyDescent="0.25">
      <c r="A33" s="20" t="s">
        <v>73</v>
      </c>
      <c r="B33" s="86" t="s">
        <v>74</v>
      </c>
      <c r="C33" s="30">
        <v>18183488000103</v>
      </c>
      <c r="D33" s="23">
        <v>7238</v>
      </c>
      <c r="E33" s="24">
        <f t="shared" si="1"/>
        <v>2.2809097621929404E-2</v>
      </c>
      <c r="F33" s="25">
        <f t="shared" si="2"/>
        <v>2783.6291165095513</v>
      </c>
      <c r="G33" s="31">
        <f t="shared" si="3"/>
        <v>139.18145582547757</v>
      </c>
      <c r="H33" s="31">
        <f t="shared" si="0"/>
        <v>2922.8105723350291</v>
      </c>
    </row>
    <row r="34" spans="1:12" s="33" customFormat="1" x14ac:dyDescent="0.25">
      <c r="A34" s="20" t="s">
        <v>75</v>
      </c>
      <c r="B34" s="86" t="s">
        <v>76</v>
      </c>
      <c r="C34" s="30">
        <v>18244070000150</v>
      </c>
      <c r="D34" s="23">
        <v>5941</v>
      </c>
      <c r="E34" s="24">
        <f t="shared" si="1"/>
        <v>1.8721863632478943E-2</v>
      </c>
      <c r="F34" s="25">
        <f t="shared" si="2"/>
        <v>2284.8218542668201</v>
      </c>
      <c r="G34" s="31">
        <f t="shared" si="3"/>
        <v>114.241092713341</v>
      </c>
      <c r="H34" s="31">
        <f t="shared" si="0"/>
        <v>2399.0629469801611</v>
      </c>
    </row>
    <row r="35" spans="1:12" s="33" customFormat="1" x14ac:dyDescent="0.25">
      <c r="A35" s="20" t="s">
        <v>77</v>
      </c>
      <c r="B35" s="86" t="s">
        <v>78</v>
      </c>
      <c r="C35" s="30">
        <v>18244039000110</v>
      </c>
      <c r="D35" s="23">
        <v>4460</v>
      </c>
      <c r="E35" s="24">
        <f t="shared" si="1"/>
        <v>1.4054790742443375E-2</v>
      </c>
      <c r="F35" s="25">
        <f t="shared" si="2"/>
        <v>1715.2508786450123</v>
      </c>
      <c r="G35" s="31">
        <f t="shared" si="3"/>
        <v>85.762543932250622</v>
      </c>
      <c r="H35" s="31">
        <f t="shared" si="0"/>
        <v>1801.0134225772629</v>
      </c>
    </row>
    <row r="36" spans="1:12" s="33" customFormat="1" x14ac:dyDescent="0.25">
      <c r="A36" s="20" t="s">
        <v>79</v>
      </c>
      <c r="B36" s="86" t="s">
        <v>153</v>
      </c>
      <c r="C36" s="30" t="s">
        <v>154</v>
      </c>
      <c r="D36" s="23">
        <v>4415</v>
      </c>
      <c r="E36" s="24">
        <f t="shared" si="1"/>
        <v>1.3912982315669844E-2</v>
      </c>
      <c r="F36" s="25">
        <f t="shared" si="2"/>
        <v>1697.9445356990425</v>
      </c>
      <c r="G36" s="31">
        <f t="shared" si="3"/>
        <v>84.897226784952124</v>
      </c>
      <c r="H36" s="31">
        <f t="shared" si="0"/>
        <v>1782.8417624839947</v>
      </c>
    </row>
    <row r="37" spans="1:12" s="33" customFormat="1" x14ac:dyDescent="0.25">
      <c r="A37" s="20" t="s">
        <v>81</v>
      </c>
      <c r="B37" s="86" t="s">
        <v>82</v>
      </c>
      <c r="C37" s="30" t="s">
        <v>83</v>
      </c>
      <c r="D37" s="23">
        <v>8673</v>
      </c>
      <c r="E37" s="24">
        <f t="shared" si="1"/>
        <v>2.7331210786818699E-2</v>
      </c>
      <c r="F37" s="25">
        <f t="shared" si="2"/>
        <v>3335.5091637865903</v>
      </c>
      <c r="G37" s="31">
        <f t="shared" si="3"/>
        <v>166.77545818932953</v>
      </c>
      <c r="H37" s="31">
        <f t="shared" si="0"/>
        <v>3502.2846219759199</v>
      </c>
    </row>
    <row r="38" spans="1:12" s="33" customFormat="1" x14ac:dyDescent="0.25">
      <c r="A38" s="20" t="s">
        <v>84</v>
      </c>
      <c r="B38" s="86" t="s">
        <v>155</v>
      </c>
      <c r="C38" s="30" t="s">
        <v>86</v>
      </c>
      <c r="D38" s="23">
        <v>9239</v>
      </c>
      <c r="E38" s="24">
        <f t="shared" si="1"/>
        <v>2.9114845665792453E-2</v>
      </c>
      <c r="F38" s="25">
        <f t="shared" si="2"/>
        <v>3553.184499507011</v>
      </c>
      <c r="G38" s="31">
        <f t="shared" si="3"/>
        <v>177.65922497535055</v>
      </c>
      <c r="H38" s="31">
        <f t="shared" si="0"/>
        <v>3730.8437244823617</v>
      </c>
    </row>
    <row r="39" spans="1:12" s="33" customFormat="1" x14ac:dyDescent="0.25">
      <c r="A39" s="20" t="s">
        <v>87</v>
      </c>
      <c r="B39" s="86" t="s">
        <v>88</v>
      </c>
      <c r="C39" s="30" t="s">
        <v>89</v>
      </c>
      <c r="D39" s="23">
        <v>4892</v>
      </c>
      <c r="E39" s="24">
        <f t="shared" si="1"/>
        <v>1.5416151639469281E-2</v>
      </c>
      <c r="F39" s="25">
        <f t="shared" si="2"/>
        <v>1881.3917709263228</v>
      </c>
      <c r="G39" s="31">
        <f t="shared" si="3"/>
        <v>94.06958854631614</v>
      </c>
      <c r="H39" s="31">
        <f t="shared" si="0"/>
        <v>1975.4613594726388</v>
      </c>
    </row>
    <row r="40" spans="1:12" s="33" customFormat="1" x14ac:dyDescent="0.25">
      <c r="A40" s="20" t="s">
        <v>90</v>
      </c>
      <c r="B40" s="86" t="s">
        <v>91</v>
      </c>
      <c r="C40" s="30">
        <v>41497649000147</v>
      </c>
      <c r="D40" s="23">
        <v>2526</v>
      </c>
      <c r="E40" s="24">
        <f t="shared" si="1"/>
        <v>7.9601796895542518E-3</v>
      </c>
      <c r="F40" s="25">
        <f t="shared" si="2"/>
        <v>971.46271736710776</v>
      </c>
      <c r="G40" s="31">
        <f t="shared" si="3"/>
        <v>48.573135868355394</v>
      </c>
      <c r="H40" s="31">
        <f t="shared" si="0"/>
        <v>1020.0358532354632</v>
      </c>
    </row>
    <row r="41" spans="1:12" s="33" customFormat="1" x14ac:dyDescent="0.25">
      <c r="A41" s="20" t="s">
        <v>92</v>
      </c>
      <c r="B41" s="86" t="s">
        <v>93</v>
      </c>
      <c r="C41" s="30">
        <v>40580071000125</v>
      </c>
      <c r="D41" s="23">
        <v>3600</v>
      </c>
      <c r="E41" s="24">
        <f t="shared" si="1"/>
        <v>1.1344674141882545E-2</v>
      </c>
      <c r="F41" s="25">
        <f t="shared" si="2"/>
        <v>1384.5074356775883</v>
      </c>
      <c r="G41" s="31">
        <f t="shared" si="3"/>
        <v>69.225371783879424</v>
      </c>
      <c r="H41" s="31">
        <f t="shared" si="0"/>
        <v>1453.7328074614677</v>
      </c>
      <c r="I41" s="105" t="s">
        <v>63</v>
      </c>
      <c r="J41" s="33" t="s">
        <v>94</v>
      </c>
      <c r="L41" s="106"/>
    </row>
    <row r="42" spans="1:12" s="33" customFormat="1" x14ac:dyDescent="0.25">
      <c r="A42" s="20" t="s">
        <v>95</v>
      </c>
      <c r="B42" s="86" t="s">
        <v>96</v>
      </c>
      <c r="C42" s="30" t="s">
        <v>97</v>
      </c>
      <c r="D42" s="23">
        <v>3938</v>
      </c>
      <c r="E42" s="24">
        <f t="shared" si="1"/>
        <v>1.2409812991870406E-2</v>
      </c>
      <c r="F42" s="25">
        <f t="shared" si="2"/>
        <v>1514.4973004717619</v>
      </c>
      <c r="G42" s="31">
        <f t="shared" si="3"/>
        <v>75.724865023588094</v>
      </c>
      <c r="H42" s="31">
        <f t="shared" si="0"/>
        <v>1590.2221654953501</v>
      </c>
    </row>
    <row r="43" spans="1:12" s="33" customFormat="1" x14ac:dyDescent="0.25">
      <c r="A43" s="20" t="s">
        <v>98</v>
      </c>
      <c r="B43" s="86" t="s">
        <v>167</v>
      </c>
      <c r="C43" s="30" t="s">
        <v>168</v>
      </c>
      <c r="D43" s="23">
        <v>3707</v>
      </c>
      <c r="E43" s="24">
        <f t="shared" si="1"/>
        <v>1.1681863067766276E-2</v>
      </c>
      <c r="F43" s="25">
        <f t="shared" si="2"/>
        <v>1425.6580733491166</v>
      </c>
      <c r="G43" s="31">
        <f t="shared" si="3"/>
        <v>71.282903667455841</v>
      </c>
      <c r="H43" s="31">
        <f t="shared" si="0"/>
        <v>1496.9409770165726</v>
      </c>
    </row>
    <row r="44" spans="1:12" s="33" customFormat="1" x14ac:dyDescent="0.25">
      <c r="A44" s="20" t="s">
        <v>100</v>
      </c>
      <c r="B44" s="86" t="s">
        <v>101</v>
      </c>
      <c r="C44" s="30">
        <v>42109766000159</v>
      </c>
      <c r="D44" s="23">
        <v>5117</v>
      </c>
      <c r="E44" s="24">
        <f t="shared" si="1"/>
        <v>1.6125193773336939E-2</v>
      </c>
      <c r="F44" s="25">
        <f t="shared" si="2"/>
        <v>1967.923485656172</v>
      </c>
      <c r="G44" s="31">
        <f t="shared" si="3"/>
        <v>98.396174282808602</v>
      </c>
      <c r="H44" s="31">
        <f t="shared" si="0"/>
        <v>2066.3196599389807</v>
      </c>
    </row>
    <row r="45" spans="1:12" s="33" customFormat="1" x14ac:dyDescent="0.25">
      <c r="A45" s="20" t="s">
        <v>102</v>
      </c>
      <c r="B45" s="86" t="s">
        <v>99</v>
      </c>
      <c r="C45" s="30">
        <v>18788190000119</v>
      </c>
      <c r="D45" s="23">
        <v>14717</v>
      </c>
      <c r="E45" s="24">
        <f t="shared" si="1"/>
        <v>4.6377658151690392E-2</v>
      </c>
      <c r="F45" s="25">
        <f t="shared" si="2"/>
        <v>5659.9433141297413</v>
      </c>
      <c r="G45" s="31">
        <f t="shared" si="3"/>
        <v>282.99716570648707</v>
      </c>
      <c r="H45" s="31">
        <f t="shared" si="0"/>
        <v>5942.9404798362284</v>
      </c>
    </row>
    <row r="46" spans="1:12" s="33" customFormat="1" ht="13.5" customHeight="1" x14ac:dyDescent="0.25">
      <c r="A46" s="20" t="s">
        <v>103</v>
      </c>
      <c r="B46" s="86" t="s">
        <v>104</v>
      </c>
      <c r="C46" s="30">
        <v>32302613000170</v>
      </c>
      <c r="D46" s="23">
        <v>5439</v>
      </c>
      <c r="E46" s="24">
        <f t="shared" si="1"/>
        <v>1.7139911849360877E-2</v>
      </c>
      <c r="F46" s="25">
        <f t="shared" si="2"/>
        <v>2091.7599840695561</v>
      </c>
      <c r="G46" s="31">
        <f t="shared" si="3"/>
        <v>104.58799920347781</v>
      </c>
      <c r="H46" s="31">
        <f t="shared" si="0"/>
        <v>2196.3479832730341</v>
      </c>
    </row>
    <row r="47" spans="1:12" s="33" customFormat="1" x14ac:dyDescent="0.25">
      <c r="A47" s="20" t="s">
        <v>105</v>
      </c>
      <c r="B47" s="86" t="s">
        <v>106</v>
      </c>
      <c r="C47" s="30">
        <v>28616552000148</v>
      </c>
      <c r="D47" s="23">
        <v>4123.71</v>
      </c>
      <c r="E47" s="24">
        <f t="shared" si="1"/>
        <v>1.2995040612672908E-2</v>
      </c>
      <c r="F47" s="25">
        <f t="shared" si="2"/>
        <v>1585.9186548827856</v>
      </c>
      <c r="G47" s="31">
        <f t="shared" si="3"/>
        <v>79.295932744139293</v>
      </c>
      <c r="H47" s="31">
        <f t="shared" si="0"/>
        <v>1665.2145876269249</v>
      </c>
    </row>
    <row r="48" spans="1:12" s="33" customFormat="1" x14ac:dyDescent="0.25">
      <c r="A48" s="20" t="s">
        <v>107</v>
      </c>
      <c r="B48" s="86" t="s">
        <v>108</v>
      </c>
      <c r="C48" s="30">
        <v>42579914000107</v>
      </c>
      <c r="D48" s="23">
        <v>4986.3599999999997</v>
      </c>
      <c r="E48" s="24">
        <f t="shared" si="1"/>
        <v>1.5713508153921512E-2</v>
      </c>
      <c r="F48" s="25">
        <f t="shared" si="2"/>
        <v>1917.6812491570277</v>
      </c>
      <c r="G48" s="31">
        <f t="shared" si="3"/>
        <v>95.884062457851385</v>
      </c>
      <c r="H48" s="31">
        <f t="shared" si="0"/>
        <v>2013.565311614879</v>
      </c>
    </row>
    <row r="49" spans="1:10" s="33" customFormat="1" x14ac:dyDescent="0.25">
      <c r="A49" s="20" t="s">
        <v>199</v>
      </c>
      <c r="B49" s="86" t="s">
        <v>200</v>
      </c>
      <c r="C49" s="30" t="s">
        <v>201</v>
      </c>
      <c r="D49" s="23">
        <v>3946</v>
      </c>
      <c r="E49" s="24">
        <f t="shared" si="1"/>
        <v>1.2435023378852368E-2</v>
      </c>
      <c r="F49" s="25">
        <f t="shared" si="2"/>
        <v>1517.5739836621567</v>
      </c>
      <c r="G49" s="31">
        <f t="shared" si="3"/>
        <v>75.878699183107841</v>
      </c>
      <c r="H49" s="31">
        <f t="shared" si="0"/>
        <v>1593.4526828452645</v>
      </c>
      <c r="J49" s="107"/>
    </row>
    <row r="50" spans="1:10" s="33" customFormat="1" x14ac:dyDescent="0.25">
      <c r="A50" s="20" t="s">
        <v>202</v>
      </c>
      <c r="B50" s="86" t="s">
        <v>203</v>
      </c>
      <c r="C50" s="30" t="s">
        <v>204</v>
      </c>
      <c r="D50" s="23">
        <v>3516</v>
      </c>
      <c r="E50" s="24">
        <f t="shared" si="1"/>
        <v>1.1079965078571952E-2</v>
      </c>
      <c r="F50" s="25">
        <f t="shared" si="2"/>
        <v>1352.2022621784447</v>
      </c>
      <c r="G50" s="31">
        <f t="shared" si="3"/>
        <v>67.610113108922235</v>
      </c>
      <c r="H50" s="31">
        <f t="shared" si="0"/>
        <v>1419.8123752873669</v>
      </c>
      <c r="J50" s="107"/>
    </row>
    <row r="51" spans="1:10" s="33" customFormat="1" x14ac:dyDescent="0.25">
      <c r="A51" s="20" t="s">
        <v>112</v>
      </c>
      <c r="B51" s="86" t="s">
        <v>205</v>
      </c>
      <c r="C51" s="30" t="s">
        <v>206</v>
      </c>
      <c r="D51" s="23">
        <v>5525</v>
      </c>
      <c r="E51" s="24">
        <f t="shared" si="1"/>
        <v>1.7410923509416962E-2</v>
      </c>
      <c r="F51" s="25">
        <f t="shared" si="2"/>
        <v>2124.8343283662989</v>
      </c>
      <c r="G51" s="31">
        <f t="shared" si="3"/>
        <v>106.24171641831495</v>
      </c>
      <c r="H51" s="31">
        <f t="shared" si="0"/>
        <v>2231.0760447846137</v>
      </c>
      <c r="I51" s="111" t="s">
        <v>210</v>
      </c>
      <c r="J51" s="111"/>
    </row>
    <row r="52" spans="1:10" s="110" customFormat="1" x14ac:dyDescent="0.25">
      <c r="A52" s="56" t="s">
        <v>179</v>
      </c>
      <c r="B52" s="103" t="s">
        <v>180</v>
      </c>
      <c r="C52" s="108" t="s">
        <v>181</v>
      </c>
      <c r="D52" s="59">
        <v>11302</v>
      </c>
      <c r="E52" s="60">
        <f t="shared" si="1"/>
        <v>3.5615974208765701E-2</v>
      </c>
      <c r="F52" s="61">
        <f t="shared" si="2"/>
        <v>4346.5841772300291</v>
      </c>
      <c r="G52" s="109">
        <f t="shared" si="3"/>
        <v>217.32920886150146</v>
      </c>
      <c r="H52" s="109">
        <f t="shared" si="0"/>
        <v>4563.9133860915308</v>
      </c>
      <c r="I52" s="111" t="s">
        <v>211</v>
      </c>
      <c r="J52" s="111" t="s">
        <v>212</v>
      </c>
    </row>
    <row r="53" spans="1:10" s="33" customFormat="1" x14ac:dyDescent="0.25">
      <c r="A53" s="20" t="s">
        <v>117</v>
      </c>
      <c r="B53" s="86" t="s">
        <v>118</v>
      </c>
      <c r="C53" s="30" t="s">
        <v>119</v>
      </c>
      <c r="D53" s="23">
        <v>4943</v>
      </c>
      <c r="E53" s="24">
        <f t="shared" si="1"/>
        <v>1.5576867856479283E-2</v>
      </c>
      <c r="F53" s="25">
        <f t="shared" si="2"/>
        <v>1901.0056262650887</v>
      </c>
      <c r="G53" s="31">
        <f t="shared" si="3"/>
        <v>95.050281313254445</v>
      </c>
      <c r="H53" s="31">
        <f t="shared" si="0"/>
        <v>1996.0559075783431</v>
      </c>
    </row>
    <row r="54" spans="1:10" s="33" customFormat="1" x14ac:dyDescent="0.25">
      <c r="A54" s="20" t="s">
        <v>120</v>
      </c>
      <c r="B54" s="86" t="s">
        <v>121</v>
      </c>
      <c r="C54" s="30">
        <v>12997366000166</v>
      </c>
      <c r="D54" s="23">
        <v>5160</v>
      </c>
      <c r="E54" s="24">
        <f t="shared" si="1"/>
        <v>1.6260699603364979E-2</v>
      </c>
      <c r="F54" s="25">
        <f t="shared" si="2"/>
        <v>1984.4606578045432</v>
      </c>
      <c r="G54" s="31">
        <f t="shared" si="3"/>
        <v>99.223032890227159</v>
      </c>
      <c r="H54" s="31">
        <f t="shared" si="0"/>
        <v>2083.6836906947701</v>
      </c>
    </row>
    <row r="55" spans="1:10" s="33" customFormat="1" ht="16.5" customHeight="1" x14ac:dyDescent="0.25">
      <c r="A55" s="20" t="s">
        <v>122</v>
      </c>
      <c r="B55" s="86" t="s">
        <v>123</v>
      </c>
      <c r="C55" s="30" t="s">
        <v>124</v>
      </c>
      <c r="D55" s="23">
        <v>6586</v>
      </c>
      <c r="E55" s="24">
        <f t="shared" si="1"/>
        <v>2.0754451082899566E-2</v>
      </c>
      <c r="F55" s="25">
        <f t="shared" si="2"/>
        <v>2532.8794364923879</v>
      </c>
      <c r="G55" s="31">
        <f t="shared" si="3"/>
        <v>126.6439718246194</v>
      </c>
      <c r="H55" s="31">
        <f t="shared" si="0"/>
        <v>2659.5234083170071</v>
      </c>
    </row>
    <row r="56" spans="1:10" s="33" customFormat="1" x14ac:dyDescent="0.25">
      <c r="A56" s="20" t="s">
        <v>125</v>
      </c>
      <c r="B56" s="86" t="s">
        <v>126</v>
      </c>
      <c r="C56" s="30">
        <v>11884518000151</v>
      </c>
      <c r="D56" s="23">
        <v>5644</v>
      </c>
      <c r="E56" s="24">
        <f t="shared" si="1"/>
        <v>1.7785928015773635E-2</v>
      </c>
      <c r="F56" s="25">
        <f t="shared" si="2"/>
        <v>2170.5999908234194</v>
      </c>
      <c r="G56" s="31">
        <f t="shared" si="3"/>
        <v>108.52999954117098</v>
      </c>
      <c r="H56" s="31">
        <f t="shared" si="0"/>
        <v>2279.1299903645904</v>
      </c>
    </row>
    <row r="57" spans="1:10" s="33" customFormat="1" x14ac:dyDescent="0.25">
      <c r="A57" s="20" t="s">
        <v>127</v>
      </c>
      <c r="B57" s="86" t="s">
        <v>128</v>
      </c>
      <c r="C57" s="30">
        <v>36188051000136</v>
      </c>
      <c r="D57" s="23">
        <v>6936</v>
      </c>
      <c r="E57" s="24">
        <f t="shared" si="1"/>
        <v>2.1857405513360368E-2</v>
      </c>
      <c r="F57" s="25">
        <f t="shared" si="2"/>
        <v>2667.4843260721532</v>
      </c>
      <c r="G57" s="31">
        <f t="shared" si="3"/>
        <v>133.37421630360765</v>
      </c>
      <c r="H57" s="31">
        <f t="shared" si="0"/>
        <v>2800.8585423757609</v>
      </c>
    </row>
    <row r="58" spans="1:10" s="33" customFormat="1" x14ac:dyDescent="0.25">
      <c r="A58" s="20" t="s">
        <v>129</v>
      </c>
      <c r="B58" s="86" t="s">
        <v>130</v>
      </c>
      <c r="C58" s="30" t="s">
        <v>131</v>
      </c>
      <c r="D58" s="23">
        <f>7425*40%</f>
        <v>2970</v>
      </c>
      <c r="E58" s="24">
        <f t="shared" si="1"/>
        <v>9.3593561670530998E-3</v>
      </c>
      <c r="F58" s="25">
        <f t="shared" si="2"/>
        <v>1142.2186344340105</v>
      </c>
      <c r="G58" s="31">
        <f t="shared" si="3"/>
        <v>57.110931721700524</v>
      </c>
      <c r="H58" s="31">
        <f t="shared" si="0"/>
        <v>1199.3295661557111</v>
      </c>
    </row>
    <row r="59" spans="1:10" s="33" customFormat="1" x14ac:dyDescent="0.25">
      <c r="A59" s="20" t="s">
        <v>132</v>
      </c>
      <c r="B59" s="86" t="s">
        <v>133</v>
      </c>
      <c r="C59" s="30">
        <v>18741082000190</v>
      </c>
      <c r="D59" s="23">
        <v>12183</v>
      </c>
      <c r="E59" s="24">
        <f t="shared" si="1"/>
        <v>3.8392268075154175E-2</v>
      </c>
      <c r="F59" s="25">
        <f t="shared" si="2"/>
        <v>4685.4039135722378</v>
      </c>
      <c r="G59" s="31">
        <f t="shared" si="3"/>
        <v>234.27019567861191</v>
      </c>
      <c r="H59" s="31">
        <f t="shared" si="0"/>
        <v>4919.6741092508501</v>
      </c>
    </row>
    <row r="60" spans="1:10" s="33" customFormat="1" x14ac:dyDescent="0.25">
      <c r="A60" s="20" t="s">
        <v>134</v>
      </c>
      <c r="B60" s="86" t="s">
        <v>207</v>
      </c>
      <c r="C60" s="30" t="s">
        <v>213</v>
      </c>
      <c r="D60" s="23">
        <v>4814</v>
      </c>
      <c r="E60" s="24">
        <f t="shared" si="1"/>
        <v>1.5170350366395158E-2</v>
      </c>
      <c r="F60" s="25">
        <f t="shared" si="2"/>
        <v>1851.394109819975</v>
      </c>
      <c r="G60" s="31">
        <f t="shared" si="3"/>
        <v>92.569705490998757</v>
      </c>
      <c r="H60" s="31">
        <f t="shared" si="0"/>
        <v>1943.9638153109738</v>
      </c>
    </row>
    <row r="61" spans="1:10" s="33" customFormat="1" x14ac:dyDescent="0.25">
      <c r="A61" s="20" t="s">
        <v>183</v>
      </c>
      <c r="B61" s="86" t="s">
        <v>184</v>
      </c>
      <c r="C61" s="30" t="s">
        <v>185</v>
      </c>
      <c r="D61" s="23">
        <f>6188.23+4126.33</f>
        <v>10314.56</v>
      </c>
      <c r="E61" s="24">
        <f t="shared" si="1"/>
        <v>3.2504256143582225E-2</v>
      </c>
      <c r="F61" s="25">
        <f t="shared" si="2"/>
        <v>3966.8291710396179</v>
      </c>
      <c r="G61" s="31">
        <f>F61*5%</f>
        <v>198.34145855198091</v>
      </c>
      <c r="H61" s="31">
        <f>F61+G61</f>
        <v>4165.1706295915992</v>
      </c>
    </row>
    <row r="62" spans="1:10" s="33" customFormat="1" x14ac:dyDescent="0.25">
      <c r="A62" s="20" t="s">
        <v>137</v>
      </c>
      <c r="B62" s="86" t="s">
        <v>138</v>
      </c>
      <c r="C62" s="30" t="s">
        <v>139</v>
      </c>
      <c r="D62" s="23">
        <v>3476.86</v>
      </c>
      <c r="E62" s="24">
        <f t="shared" si="1"/>
        <v>1.0956623260262708E-2</v>
      </c>
      <c r="F62" s="25">
        <f t="shared" si="2"/>
        <v>1337.1495896694389</v>
      </c>
      <c r="G62" s="31">
        <f t="shared" si="3"/>
        <v>66.857479483471948</v>
      </c>
      <c r="H62" s="31">
        <f t="shared" si="0"/>
        <v>1404.0070691529108</v>
      </c>
    </row>
    <row r="63" spans="1:10" s="33" customFormat="1" x14ac:dyDescent="0.25">
      <c r="A63" s="20" t="s">
        <v>140</v>
      </c>
      <c r="B63" s="29" t="s">
        <v>141</v>
      </c>
      <c r="C63" s="30">
        <v>11884518000151</v>
      </c>
      <c r="D63" s="23">
        <f>81377.44-14717-3314-9239-9403+9177.57</f>
        <v>53882.01</v>
      </c>
      <c r="E63" s="24">
        <f t="shared" si="1"/>
        <v>0.16979829043323796</v>
      </c>
      <c r="F63" s="25">
        <f t="shared" si="2"/>
        <v>20722.234303959493</v>
      </c>
      <c r="G63" s="31">
        <f t="shared" si="3"/>
        <v>1036.1117151979747</v>
      </c>
      <c r="H63" s="31">
        <f t="shared" si="0"/>
        <v>21758.346019157467</v>
      </c>
    </row>
    <row r="64" spans="1:10" customFormat="1" x14ac:dyDescent="0.25">
      <c r="A64" s="34"/>
      <c r="B64" s="35"/>
      <c r="C64" s="36" t="s">
        <v>142</v>
      </c>
      <c r="D64" s="37">
        <f>SUM(D20:D63)</f>
        <v>317329.52</v>
      </c>
      <c r="E64" s="38">
        <f>SUM(E20:E63)</f>
        <v>0.99999999999999978</v>
      </c>
      <c r="F64" s="98">
        <f>SUM(F20:F63)</f>
        <v>122040.30000000002</v>
      </c>
      <c r="G64" s="98">
        <f>SUM(G20:G63)</f>
        <v>6102.0149999999994</v>
      </c>
      <c r="H64" s="99">
        <f>SUM(H20:H63)</f>
        <v>128142.31499999997</v>
      </c>
    </row>
    <row r="65" spans="3:8" customFormat="1" x14ac:dyDescent="0.25">
      <c r="D65" s="44"/>
      <c r="F65" s="41"/>
    </row>
    <row r="66" spans="3:8" customFormat="1" x14ac:dyDescent="0.25">
      <c r="F66" s="41"/>
    </row>
    <row r="67" spans="3:8" customFormat="1" x14ac:dyDescent="0.25">
      <c r="D67" s="44"/>
      <c r="E67" s="41"/>
      <c r="H67" s="42"/>
    </row>
    <row r="68" spans="3:8" customFormat="1" x14ac:dyDescent="0.25">
      <c r="E68" s="41"/>
    </row>
    <row r="69" spans="3:8" customFormat="1" x14ac:dyDescent="0.25"/>
    <row r="70" spans="3:8" customFormat="1" x14ac:dyDescent="0.25"/>
    <row r="71" spans="3:8" customFormat="1" x14ac:dyDescent="0.25"/>
    <row r="72" spans="3:8" customFormat="1" x14ac:dyDescent="0.25">
      <c r="C72" s="44"/>
    </row>
    <row r="73" spans="3:8" customFormat="1" x14ac:dyDescent="0.25"/>
    <row r="74" spans="3:8" customFormat="1" x14ac:dyDescent="0.25"/>
    <row r="75" spans="3:8" customFormat="1" x14ac:dyDescent="0.25"/>
    <row r="76" spans="3:8" customFormat="1" x14ac:dyDescent="0.25"/>
    <row r="77" spans="3:8" customFormat="1" x14ac:dyDescent="0.25"/>
    <row r="78" spans="3:8" customFormat="1" x14ac:dyDescent="0.25"/>
    <row r="79" spans="3:8" customFormat="1" x14ac:dyDescent="0.25"/>
    <row r="80" spans="3:8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spans="1:8" customFormat="1" x14ac:dyDescent="0.25"/>
    <row r="146" spans="1:8" customFormat="1" x14ac:dyDescent="0.25"/>
    <row r="147" spans="1:8" customFormat="1" x14ac:dyDescent="0.25"/>
    <row r="148" spans="1:8" customFormat="1" x14ac:dyDescent="0.25">
      <c r="A148" s="100"/>
      <c r="B148" s="100"/>
      <c r="C148" s="100"/>
      <c r="D148" s="100"/>
      <c r="E148" s="100"/>
    </row>
    <row r="149" spans="1:8" x14ac:dyDescent="0.25">
      <c r="F149"/>
      <c r="G149"/>
      <c r="H149"/>
    </row>
    <row r="150" spans="1:8" x14ac:dyDescent="0.25">
      <c r="F150"/>
      <c r="G150"/>
      <c r="H150"/>
    </row>
    <row r="151" spans="1:8" x14ac:dyDescent="0.25">
      <c r="F151"/>
      <c r="G151"/>
      <c r="H151"/>
    </row>
    <row r="152" spans="1:8" x14ac:dyDescent="0.25">
      <c r="F152"/>
      <c r="G152"/>
      <c r="H152"/>
    </row>
    <row r="153" spans="1:8" x14ac:dyDescent="0.25">
      <c r="F153"/>
      <c r="G153"/>
      <c r="H153"/>
    </row>
    <row r="154" spans="1:8" x14ac:dyDescent="0.25">
      <c r="F154"/>
      <c r="G154"/>
      <c r="H154"/>
    </row>
    <row r="155" spans="1:8" x14ac:dyDescent="0.25">
      <c r="F155"/>
      <c r="G155"/>
      <c r="H155"/>
    </row>
    <row r="156" spans="1:8" x14ac:dyDescent="0.25">
      <c r="F156"/>
      <c r="G156"/>
      <c r="H156"/>
    </row>
    <row r="157" spans="1:8" x14ac:dyDescent="0.25">
      <c r="F157"/>
      <c r="G157"/>
      <c r="H157"/>
    </row>
    <row r="158" spans="1:8" x14ac:dyDescent="0.25">
      <c r="F158"/>
      <c r="G158"/>
      <c r="H158"/>
    </row>
    <row r="159" spans="1:8" x14ac:dyDescent="0.25">
      <c r="F159"/>
      <c r="G159"/>
      <c r="H159"/>
    </row>
    <row r="160" spans="1:8" x14ac:dyDescent="0.25">
      <c r="F160"/>
      <c r="G160"/>
      <c r="H160"/>
    </row>
    <row r="161" spans="6:8" x14ac:dyDescent="0.25">
      <c r="F161"/>
      <c r="G161"/>
      <c r="H161"/>
    </row>
    <row r="162" spans="6:8" x14ac:dyDescent="0.25">
      <c r="F162"/>
      <c r="G162"/>
      <c r="H162"/>
    </row>
    <row r="163" spans="6:8" x14ac:dyDescent="0.25">
      <c r="F163"/>
      <c r="G163"/>
      <c r="H163"/>
    </row>
    <row r="164" spans="6:8" x14ac:dyDescent="0.25">
      <c r="F164"/>
      <c r="G164"/>
      <c r="H164"/>
    </row>
    <row r="165" spans="6:8" x14ac:dyDescent="0.25">
      <c r="F165"/>
      <c r="G165"/>
      <c r="H165"/>
    </row>
    <row r="166" spans="6:8" x14ac:dyDescent="0.25">
      <c r="F166"/>
      <c r="G166"/>
      <c r="H166"/>
    </row>
    <row r="167" spans="6:8" x14ac:dyDescent="0.25">
      <c r="F167"/>
      <c r="G167"/>
      <c r="H167"/>
    </row>
    <row r="168" spans="6:8" x14ac:dyDescent="0.25">
      <c r="F168"/>
      <c r="G168"/>
      <c r="H168"/>
    </row>
    <row r="169" spans="6:8" x14ac:dyDescent="0.25">
      <c r="F169"/>
      <c r="G169"/>
      <c r="H169"/>
    </row>
    <row r="170" spans="6:8" x14ac:dyDescent="0.25">
      <c r="F170"/>
      <c r="G170"/>
      <c r="H170"/>
    </row>
    <row r="171" spans="6:8" x14ac:dyDescent="0.25">
      <c r="F171"/>
      <c r="G171"/>
      <c r="H171"/>
    </row>
    <row r="172" spans="6:8" x14ac:dyDescent="0.25">
      <c r="F172"/>
      <c r="G172"/>
      <c r="H172"/>
    </row>
    <row r="173" spans="6:8" x14ac:dyDescent="0.25">
      <c r="F173"/>
      <c r="G173"/>
      <c r="H173"/>
    </row>
    <row r="174" spans="6:8" x14ac:dyDescent="0.25">
      <c r="F174"/>
      <c r="G174"/>
      <c r="H174"/>
    </row>
    <row r="175" spans="6:8" x14ac:dyDescent="0.25">
      <c r="F175"/>
      <c r="G175"/>
      <c r="H175"/>
    </row>
    <row r="176" spans="6:8" x14ac:dyDescent="0.25">
      <c r="F176"/>
      <c r="G176"/>
      <c r="H176"/>
    </row>
    <row r="177" spans="6:8" x14ac:dyDescent="0.25">
      <c r="F177"/>
      <c r="G177"/>
      <c r="H177"/>
    </row>
    <row r="178" spans="6:8" x14ac:dyDescent="0.25">
      <c r="F178"/>
      <c r="G178"/>
      <c r="H178"/>
    </row>
    <row r="179" spans="6:8" x14ac:dyDescent="0.25">
      <c r="F179"/>
      <c r="G179"/>
      <c r="H179"/>
    </row>
    <row r="180" spans="6:8" x14ac:dyDescent="0.25">
      <c r="F180"/>
      <c r="G180"/>
      <c r="H180"/>
    </row>
    <row r="181" spans="6:8" x14ac:dyDescent="0.25">
      <c r="F181"/>
      <c r="G181"/>
      <c r="H181"/>
    </row>
    <row r="182" spans="6:8" x14ac:dyDescent="0.25">
      <c r="F182"/>
      <c r="G182"/>
      <c r="H182"/>
    </row>
    <row r="183" spans="6:8" x14ac:dyDescent="0.25">
      <c r="F183"/>
      <c r="G183"/>
      <c r="H183"/>
    </row>
    <row r="184" spans="6:8" x14ac:dyDescent="0.25">
      <c r="F184"/>
      <c r="G184"/>
      <c r="H184"/>
    </row>
    <row r="185" spans="6:8" x14ac:dyDescent="0.25">
      <c r="F185"/>
      <c r="G185"/>
      <c r="H185"/>
    </row>
    <row r="186" spans="6:8" x14ac:dyDescent="0.25">
      <c r="F186"/>
      <c r="G186"/>
      <c r="H186"/>
    </row>
    <row r="187" spans="6:8" x14ac:dyDescent="0.25">
      <c r="F187"/>
      <c r="G187"/>
      <c r="H187"/>
    </row>
    <row r="188" spans="6:8" x14ac:dyDescent="0.25">
      <c r="F188"/>
      <c r="G188"/>
      <c r="H188"/>
    </row>
    <row r="189" spans="6:8" x14ac:dyDescent="0.25">
      <c r="F189"/>
      <c r="G189"/>
      <c r="H189"/>
    </row>
    <row r="190" spans="6:8" x14ac:dyDescent="0.25">
      <c r="F190"/>
      <c r="G190"/>
      <c r="H190"/>
    </row>
    <row r="191" spans="6:8" x14ac:dyDescent="0.25">
      <c r="F191"/>
      <c r="G191"/>
      <c r="H191"/>
    </row>
    <row r="192" spans="6:8" x14ac:dyDescent="0.25">
      <c r="F192"/>
      <c r="G192"/>
      <c r="H192"/>
    </row>
    <row r="193" spans="6:8" x14ac:dyDescent="0.25">
      <c r="F193"/>
      <c r="G193"/>
      <c r="H193"/>
    </row>
    <row r="194" spans="6:8" x14ac:dyDescent="0.25">
      <c r="F194"/>
      <c r="G194"/>
      <c r="H194"/>
    </row>
    <row r="195" spans="6:8" x14ac:dyDescent="0.25">
      <c r="F195"/>
      <c r="G195"/>
      <c r="H195"/>
    </row>
    <row r="196" spans="6:8" x14ac:dyDescent="0.25">
      <c r="F196"/>
      <c r="G196"/>
      <c r="H196"/>
    </row>
    <row r="197" spans="6:8" x14ac:dyDescent="0.25">
      <c r="F197"/>
      <c r="G197"/>
      <c r="H197"/>
    </row>
    <row r="198" spans="6:8" x14ac:dyDescent="0.25">
      <c r="F198"/>
      <c r="G198"/>
      <c r="H198"/>
    </row>
    <row r="199" spans="6:8" x14ac:dyDescent="0.25">
      <c r="F199"/>
      <c r="G199"/>
      <c r="H199"/>
    </row>
    <row r="200" spans="6:8" x14ac:dyDescent="0.25">
      <c r="F200"/>
      <c r="G200"/>
      <c r="H200"/>
    </row>
    <row r="201" spans="6:8" x14ac:dyDescent="0.25">
      <c r="F201"/>
      <c r="G201"/>
      <c r="H201"/>
    </row>
    <row r="202" spans="6:8" x14ac:dyDescent="0.25">
      <c r="F202"/>
      <c r="G202"/>
      <c r="H202"/>
    </row>
    <row r="203" spans="6:8" x14ac:dyDescent="0.25">
      <c r="F203"/>
      <c r="G203"/>
      <c r="H203"/>
    </row>
    <row r="204" spans="6:8" x14ac:dyDescent="0.25">
      <c r="F204"/>
      <c r="G204"/>
      <c r="H204"/>
    </row>
    <row r="205" spans="6:8" x14ac:dyDescent="0.25">
      <c r="F205"/>
      <c r="G205"/>
      <c r="H205"/>
    </row>
    <row r="206" spans="6:8" x14ac:dyDescent="0.25">
      <c r="F206"/>
      <c r="G206"/>
      <c r="H206"/>
    </row>
    <row r="207" spans="6:8" x14ac:dyDescent="0.25">
      <c r="F207"/>
      <c r="G207"/>
      <c r="H207"/>
    </row>
    <row r="208" spans="6:8" x14ac:dyDescent="0.25">
      <c r="F208"/>
      <c r="G208"/>
      <c r="H208"/>
    </row>
    <row r="209" spans="6:8" x14ac:dyDescent="0.25">
      <c r="F209"/>
      <c r="G209"/>
      <c r="H209"/>
    </row>
    <row r="210" spans="6:8" x14ac:dyDescent="0.25">
      <c r="F210"/>
      <c r="G210"/>
      <c r="H210"/>
    </row>
    <row r="211" spans="6:8" x14ac:dyDescent="0.25">
      <c r="F211"/>
      <c r="G211"/>
      <c r="H211"/>
    </row>
    <row r="212" spans="6:8" x14ac:dyDescent="0.25">
      <c r="F212"/>
      <c r="G212"/>
      <c r="H212"/>
    </row>
    <row r="213" spans="6:8" x14ac:dyDescent="0.25">
      <c r="F213"/>
      <c r="G213"/>
      <c r="H213"/>
    </row>
    <row r="214" spans="6:8" x14ac:dyDescent="0.25">
      <c r="F214"/>
      <c r="G214"/>
      <c r="H214"/>
    </row>
    <row r="215" spans="6:8" x14ac:dyDescent="0.25">
      <c r="F215"/>
      <c r="G215"/>
      <c r="H215"/>
    </row>
    <row r="216" spans="6:8" x14ac:dyDescent="0.25">
      <c r="F216"/>
      <c r="G216"/>
      <c r="H216"/>
    </row>
    <row r="217" spans="6:8" x14ac:dyDescent="0.25">
      <c r="F217"/>
      <c r="G217"/>
      <c r="H217"/>
    </row>
    <row r="218" spans="6:8" x14ac:dyDescent="0.25">
      <c r="F218"/>
      <c r="G218"/>
      <c r="H218"/>
    </row>
    <row r="219" spans="6:8" x14ac:dyDescent="0.25">
      <c r="F219"/>
      <c r="G219"/>
      <c r="H219"/>
    </row>
    <row r="220" spans="6:8" x14ac:dyDescent="0.25">
      <c r="F220"/>
      <c r="G220"/>
      <c r="H220"/>
    </row>
    <row r="221" spans="6:8" x14ac:dyDescent="0.25">
      <c r="F221"/>
      <c r="G221"/>
      <c r="H221"/>
    </row>
    <row r="222" spans="6:8" x14ac:dyDescent="0.25">
      <c r="F222"/>
      <c r="G222"/>
      <c r="H222"/>
    </row>
    <row r="223" spans="6:8" x14ac:dyDescent="0.25">
      <c r="F223"/>
      <c r="G223"/>
      <c r="H223"/>
    </row>
    <row r="224" spans="6:8" x14ac:dyDescent="0.25">
      <c r="F224"/>
      <c r="G224"/>
      <c r="H224"/>
    </row>
    <row r="225" spans="6:8" x14ac:dyDescent="0.25">
      <c r="F225"/>
      <c r="G225"/>
      <c r="H225"/>
    </row>
    <row r="226" spans="6:8" x14ac:dyDescent="0.25">
      <c r="F226"/>
      <c r="G226"/>
      <c r="H226"/>
    </row>
    <row r="227" spans="6:8" x14ac:dyDescent="0.25">
      <c r="F227"/>
      <c r="G227"/>
      <c r="H227"/>
    </row>
    <row r="228" spans="6:8" x14ac:dyDescent="0.25">
      <c r="F228"/>
      <c r="G228"/>
      <c r="H228"/>
    </row>
    <row r="229" spans="6:8" x14ac:dyDescent="0.25">
      <c r="F229"/>
      <c r="G229"/>
      <c r="H229"/>
    </row>
    <row r="230" spans="6:8" x14ac:dyDescent="0.25">
      <c r="G230"/>
      <c r="H230"/>
    </row>
  </sheetData>
  <autoFilter ref="A19:L64" xr:uid="{EF89F69C-AE2D-4213-8B8C-FE31A3656908}"/>
  <mergeCells count="1">
    <mergeCell ref="B1:G1"/>
  </mergeCells>
  <pageMargins left="0.511811024" right="0.511811024" top="0.78740157499999996" bottom="0.78740157499999996" header="0.31496062000000002" footer="0.3149606200000000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DBE2-CA56-416B-90D1-875076DB191B}">
  <dimension ref="A1:L231"/>
  <sheetViews>
    <sheetView topLeftCell="A47" zoomScaleNormal="100" workbookViewId="0">
      <selection activeCell="A57" sqref="A57:XFD57"/>
    </sheetView>
  </sheetViews>
  <sheetFormatPr defaultColWidth="9.140625" defaultRowHeight="15" x14ac:dyDescent="0.25"/>
  <cols>
    <col min="1" max="1" width="29.5703125" style="100" customWidth="1"/>
    <col min="2" max="2" width="45.28515625" style="100" customWidth="1"/>
    <col min="3" max="3" width="29.7109375" style="100" customWidth="1"/>
    <col min="4" max="4" width="21.42578125" style="100" customWidth="1"/>
    <col min="5" max="5" width="17.42578125" style="100" customWidth="1"/>
    <col min="6" max="6" width="16.42578125" style="100" customWidth="1"/>
    <col min="7" max="7" width="17.140625" style="100" customWidth="1"/>
    <col min="8" max="8" width="16.85546875" style="100" bestFit="1" customWidth="1"/>
    <col min="9" max="9" width="44.140625" style="100" bestFit="1" customWidth="1"/>
    <col min="10" max="10" width="15.42578125" style="100" bestFit="1" customWidth="1"/>
    <col min="11" max="16384" width="9.140625" style="100"/>
  </cols>
  <sheetData>
    <row r="1" spans="1:8" customFormat="1" ht="21.75" customHeight="1" x14ac:dyDescent="0.25">
      <c r="A1" s="87"/>
      <c r="B1" s="118" t="s">
        <v>0</v>
      </c>
      <c r="C1" s="119"/>
      <c r="D1" s="119"/>
      <c r="E1" s="119"/>
      <c r="F1" s="119"/>
      <c r="G1" s="120"/>
      <c r="H1" s="88"/>
    </row>
    <row r="2" spans="1:8" customFormat="1" ht="30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3"/>
      <c r="F2" s="4" t="s">
        <v>5</v>
      </c>
      <c r="G2" s="89"/>
      <c r="H2" s="6"/>
    </row>
    <row r="3" spans="1:8" customFormat="1" ht="30.6" customHeight="1" x14ac:dyDescent="0.25">
      <c r="A3" s="7">
        <v>1</v>
      </c>
      <c r="B3" s="8" t="s">
        <v>6</v>
      </c>
      <c r="C3" s="8"/>
      <c r="D3" s="9">
        <v>45962</v>
      </c>
      <c r="E3" s="9"/>
      <c r="F3" s="10">
        <f>548.46+566.29+5000</f>
        <v>6114.75</v>
      </c>
      <c r="G3" s="89"/>
      <c r="H3" s="6"/>
    </row>
    <row r="4" spans="1:8" customFormat="1" ht="30.6" customHeight="1" x14ac:dyDescent="0.25">
      <c r="A4" s="7">
        <v>2</v>
      </c>
      <c r="B4" s="8" t="s">
        <v>8</v>
      </c>
      <c r="C4" s="8" t="s">
        <v>9</v>
      </c>
      <c r="D4" s="9">
        <v>45962</v>
      </c>
      <c r="E4" s="9"/>
      <c r="F4" s="10">
        <v>39590</v>
      </c>
      <c r="G4" s="89"/>
      <c r="H4" s="11"/>
    </row>
    <row r="5" spans="1:8" customFormat="1" ht="30.6" customHeight="1" x14ac:dyDescent="0.25">
      <c r="A5" s="7">
        <v>3</v>
      </c>
      <c r="B5" s="8" t="s">
        <v>10</v>
      </c>
      <c r="C5" s="12" t="s">
        <v>11</v>
      </c>
      <c r="D5" s="9">
        <v>45962</v>
      </c>
      <c r="E5" s="9"/>
      <c r="F5" s="10">
        <f>40624.8</f>
        <v>40624.800000000003</v>
      </c>
      <c r="G5" s="89"/>
      <c r="H5" s="11"/>
    </row>
    <row r="6" spans="1:8" customFormat="1" ht="30.6" customHeight="1" x14ac:dyDescent="0.25">
      <c r="A6" s="7">
        <v>4</v>
      </c>
      <c r="B6" s="8" t="s">
        <v>189</v>
      </c>
      <c r="C6" s="12" t="s">
        <v>190</v>
      </c>
      <c r="D6" s="9">
        <v>45962</v>
      </c>
      <c r="E6" s="9"/>
      <c r="F6" s="10">
        <f>24000+3600</f>
        <v>27600</v>
      </c>
      <c r="G6" s="89"/>
      <c r="H6" s="11"/>
    </row>
    <row r="7" spans="1:8" customFormat="1" ht="30.6" customHeight="1" x14ac:dyDescent="0.25">
      <c r="A7" s="7">
        <v>5</v>
      </c>
      <c r="B7" s="8" t="s">
        <v>191</v>
      </c>
      <c r="C7" s="8"/>
      <c r="D7" s="9">
        <v>45962</v>
      </c>
      <c r="E7" s="9"/>
      <c r="F7" s="10">
        <v>300</v>
      </c>
      <c r="G7" s="89"/>
      <c r="H7" s="6"/>
    </row>
    <row r="8" spans="1:8" customFormat="1" ht="30.6" customHeight="1" x14ac:dyDescent="0.25">
      <c r="A8" s="7">
        <v>6</v>
      </c>
      <c r="B8" s="8" t="s">
        <v>12</v>
      </c>
      <c r="C8" s="8"/>
      <c r="D8" s="9">
        <v>45962</v>
      </c>
      <c r="E8" s="9"/>
      <c r="F8" s="10">
        <v>436.2</v>
      </c>
      <c r="G8" s="89"/>
      <c r="H8" s="6"/>
    </row>
    <row r="9" spans="1:8" customFormat="1" ht="30.6" customHeight="1" x14ac:dyDescent="0.25">
      <c r="A9" s="7">
        <v>7</v>
      </c>
      <c r="B9" s="8" t="s">
        <v>13</v>
      </c>
      <c r="C9" s="8" t="s">
        <v>14</v>
      </c>
      <c r="D9" s="9">
        <v>45962</v>
      </c>
      <c r="E9" s="9"/>
      <c r="F9" s="13">
        <v>1518</v>
      </c>
      <c r="G9" s="89"/>
      <c r="H9" s="6"/>
    </row>
    <row r="10" spans="1:8" customFormat="1" ht="30.6" customHeight="1" x14ac:dyDescent="0.25">
      <c r="A10" s="7">
        <v>8</v>
      </c>
      <c r="B10" s="8" t="s">
        <v>15</v>
      </c>
      <c r="C10" s="8" t="s">
        <v>16</v>
      </c>
      <c r="D10" s="9">
        <v>45962</v>
      </c>
      <c r="E10" s="9"/>
      <c r="F10" s="13">
        <v>2500</v>
      </c>
      <c r="G10" s="89"/>
      <c r="H10" s="6"/>
    </row>
    <row r="11" spans="1:8" customFormat="1" ht="34.5" customHeight="1" x14ac:dyDescent="0.25">
      <c r="A11" s="7">
        <v>9</v>
      </c>
      <c r="B11" s="14" t="s">
        <v>17</v>
      </c>
      <c r="C11" s="12" t="s">
        <v>18</v>
      </c>
      <c r="D11" s="9">
        <v>45962</v>
      </c>
      <c r="E11" s="9"/>
      <c r="F11" s="13">
        <v>1274</v>
      </c>
      <c r="G11" s="89"/>
      <c r="H11" s="6"/>
    </row>
    <row r="12" spans="1:8" customFormat="1" ht="30.6" customHeight="1" x14ac:dyDescent="0.25">
      <c r="A12" s="7">
        <v>10</v>
      </c>
      <c r="B12" s="14" t="s">
        <v>19</v>
      </c>
      <c r="C12" s="14" t="s">
        <v>20</v>
      </c>
      <c r="D12" s="9">
        <v>45962</v>
      </c>
      <c r="E12" s="9"/>
      <c r="F12" s="13">
        <v>227.24</v>
      </c>
      <c r="G12" s="89"/>
      <c r="H12" s="6"/>
    </row>
    <row r="13" spans="1:8" customFormat="1" ht="30.6" customHeight="1" x14ac:dyDescent="0.25">
      <c r="A13" s="7">
        <v>11</v>
      </c>
      <c r="B13" s="14" t="s">
        <v>149</v>
      </c>
      <c r="C13" s="14" t="s">
        <v>150</v>
      </c>
      <c r="D13" s="9">
        <v>45962</v>
      </c>
      <c r="E13" s="9"/>
      <c r="F13" s="13">
        <v>149.9</v>
      </c>
      <c r="G13" s="89"/>
      <c r="H13" s="6"/>
    </row>
    <row r="14" spans="1:8" customFormat="1" ht="30.6" customHeight="1" x14ac:dyDescent="0.25">
      <c r="A14" s="7">
        <v>12</v>
      </c>
      <c r="B14" s="14" t="s">
        <v>21</v>
      </c>
      <c r="C14" s="12" t="s">
        <v>22</v>
      </c>
      <c r="D14" s="9">
        <v>45962</v>
      </c>
      <c r="E14" s="9"/>
      <c r="F14" s="13">
        <v>539</v>
      </c>
      <c r="G14" s="89"/>
      <c r="H14" s="15"/>
    </row>
    <row r="15" spans="1:8" customFormat="1" ht="30.6" customHeight="1" x14ac:dyDescent="0.25">
      <c r="A15" s="7">
        <v>13</v>
      </c>
      <c r="B15" s="14" t="s">
        <v>23</v>
      </c>
      <c r="C15" s="8"/>
      <c r="D15" s="9">
        <v>45962</v>
      </c>
      <c r="E15" s="9"/>
      <c r="F15" s="13"/>
      <c r="G15" s="89"/>
      <c r="H15" s="6"/>
    </row>
    <row r="16" spans="1:8" customFormat="1" ht="31.5" customHeight="1" x14ac:dyDescent="0.25">
      <c r="A16" s="7">
        <v>14</v>
      </c>
      <c r="B16" s="14" t="s">
        <v>24</v>
      </c>
      <c r="C16" s="12" t="s">
        <v>25</v>
      </c>
      <c r="D16" s="9">
        <v>45962</v>
      </c>
      <c r="E16" s="9"/>
      <c r="F16" s="13">
        <v>248.7</v>
      </c>
      <c r="G16" s="89"/>
      <c r="H16" s="6"/>
    </row>
    <row r="17" spans="1:12" customFormat="1" ht="31.5" customHeight="1" x14ac:dyDescent="0.25">
      <c r="A17" s="7">
        <v>15</v>
      </c>
      <c r="B17" s="14" t="s">
        <v>208</v>
      </c>
      <c r="C17" s="12" t="s">
        <v>209</v>
      </c>
      <c r="D17" s="9">
        <v>45962</v>
      </c>
      <c r="E17" s="9"/>
      <c r="F17" s="13">
        <v>917.71</v>
      </c>
      <c r="G17" s="89"/>
      <c r="H17" s="6"/>
    </row>
    <row r="18" spans="1:12" customFormat="1" ht="42" customHeight="1" x14ac:dyDescent="0.25">
      <c r="A18" s="90"/>
      <c r="B18" s="91" t="s">
        <v>31</v>
      </c>
      <c r="C18" s="92"/>
      <c r="D18" s="2"/>
      <c r="E18" s="93"/>
      <c r="F18" s="94">
        <f>SUM(F3:F17)</f>
        <v>122040.3</v>
      </c>
      <c r="G18" s="95"/>
      <c r="H18" s="6"/>
    </row>
    <row r="19" spans="1:12" customFormat="1" ht="21.75" customHeight="1" x14ac:dyDescent="0.25">
      <c r="A19" s="17" t="s">
        <v>32</v>
      </c>
      <c r="B19" s="17" t="s">
        <v>33</v>
      </c>
      <c r="C19" s="96" t="s">
        <v>34</v>
      </c>
      <c r="D19" s="17" t="s">
        <v>35</v>
      </c>
      <c r="E19" s="17" t="s">
        <v>36</v>
      </c>
      <c r="F19" s="17" t="s">
        <v>37</v>
      </c>
      <c r="G19" s="97" t="s">
        <v>38</v>
      </c>
      <c r="H19" s="96" t="s">
        <v>39</v>
      </c>
    </row>
    <row r="20" spans="1:12" s="27" customFormat="1" ht="15" customHeight="1" x14ac:dyDescent="0.25">
      <c r="A20" s="20" t="s">
        <v>40</v>
      </c>
      <c r="B20" s="21" t="s">
        <v>41</v>
      </c>
      <c r="C20" s="22" t="s">
        <v>42</v>
      </c>
      <c r="D20" s="23">
        <v>4016</v>
      </c>
      <c r="E20" s="24">
        <f>D20/$D$65</f>
        <v>1.261051708332556E-2</v>
      </c>
      <c r="F20" s="25">
        <f>$F$18*E20</f>
        <v>1538.9912880041763</v>
      </c>
      <c r="G20" s="26">
        <f>F20*5%</f>
        <v>76.949564400208828</v>
      </c>
      <c r="H20" s="26">
        <f t="shared" ref="H20:H64" si="0">F20+G20</f>
        <v>1615.9408524043852</v>
      </c>
    </row>
    <row r="21" spans="1:12" customFormat="1" x14ac:dyDescent="0.25">
      <c r="A21" s="20" t="s">
        <v>43</v>
      </c>
      <c r="B21" s="28" t="s">
        <v>44</v>
      </c>
      <c r="C21" s="22">
        <v>18778225000139</v>
      </c>
      <c r="D21" s="23">
        <v>8711.2199999999993</v>
      </c>
      <c r="E21" s="24">
        <f t="shared" ref="E21:E64" si="1">D21/$D$65</f>
        <v>2.7353831829334482E-2</v>
      </c>
      <c r="F21" s="25">
        <f t="shared" ref="F21:F64" si="2">$F$18*E21</f>
        <v>3338.269842601529</v>
      </c>
      <c r="G21" s="26">
        <f t="shared" ref="G21:G64" si="3">F21*5%</f>
        <v>166.91349213007646</v>
      </c>
      <c r="H21" s="26">
        <f t="shared" si="0"/>
        <v>3505.1833347316056</v>
      </c>
    </row>
    <row r="22" spans="1:12" customFormat="1" x14ac:dyDescent="0.25">
      <c r="A22" s="20" t="s">
        <v>45</v>
      </c>
      <c r="B22" s="28" t="s">
        <v>46</v>
      </c>
      <c r="C22" s="22">
        <v>41993875000119</v>
      </c>
      <c r="D22" s="23">
        <v>3641.8</v>
      </c>
      <c r="E22" s="24">
        <f t="shared" si="1"/>
        <v>1.143550326545195E-2</v>
      </c>
      <c r="F22" s="25">
        <f t="shared" si="2"/>
        <v>1395.5922491667357</v>
      </c>
      <c r="G22" s="26">
        <f t="shared" si="3"/>
        <v>69.779612458336786</v>
      </c>
      <c r="H22" s="26">
        <f t="shared" si="0"/>
        <v>1465.3718616250724</v>
      </c>
    </row>
    <row r="23" spans="1:12" customFormat="1" x14ac:dyDescent="0.25">
      <c r="A23" s="20" t="s">
        <v>47</v>
      </c>
      <c r="B23" s="21" t="s">
        <v>48</v>
      </c>
      <c r="C23" s="22">
        <v>24781302000102</v>
      </c>
      <c r="D23" s="23">
        <v>3430</v>
      </c>
      <c r="E23" s="24">
        <f t="shared" si="1"/>
        <v>1.07704366523423E-2</v>
      </c>
      <c r="F23" s="25">
        <f t="shared" si="2"/>
        <v>1314.4273201828501</v>
      </c>
      <c r="G23" s="26">
        <f t="shared" si="3"/>
        <v>65.7213660091425</v>
      </c>
      <c r="H23" s="26">
        <f t="shared" si="0"/>
        <v>1380.1486861919925</v>
      </c>
    </row>
    <row r="24" spans="1:12" customFormat="1" x14ac:dyDescent="0.25">
      <c r="A24" s="20" t="s">
        <v>161</v>
      </c>
      <c r="B24" s="21" t="s">
        <v>162</v>
      </c>
      <c r="C24" s="22" t="s">
        <v>163</v>
      </c>
      <c r="D24" s="23">
        <v>9403</v>
      </c>
      <c r="E24" s="24">
        <f t="shared" si="1"/>
        <v>2.9526068758593187E-2</v>
      </c>
      <c r="F24" s="25">
        <f t="shared" si="2"/>
        <v>3603.3702891193402</v>
      </c>
      <c r="G24" s="26">
        <f t="shared" si="3"/>
        <v>180.16851445596703</v>
      </c>
      <c r="H24" s="26">
        <f t="shared" si="0"/>
        <v>3783.5388035753072</v>
      </c>
    </row>
    <row r="25" spans="1:12" customFormat="1" x14ac:dyDescent="0.25">
      <c r="A25" s="20" t="s">
        <v>49</v>
      </c>
      <c r="B25" s="21" t="s">
        <v>50</v>
      </c>
      <c r="C25" s="22">
        <v>38649716000197</v>
      </c>
      <c r="D25" s="23">
        <v>3440</v>
      </c>
      <c r="E25" s="24">
        <f t="shared" si="1"/>
        <v>1.0801837342290819E-2</v>
      </c>
      <c r="F25" s="25">
        <f t="shared" si="2"/>
        <v>1318.2594698043742</v>
      </c>
      <c r="G25" s="26">
        <f t="shared" si="3"/>
        <v>65.912973490218718</v>
      </c>
      <c r="H25" s="26">
        <f t="shared" si="0"/>
        <v>1384.172443294593</v>
      </c>
    </row>
    <row r="26" spans="1:12" customFormat="1" x14ac:dyDescent="0.25">
      <c r="A26" s="20" t="s">
        <v>51</v>
      </c>
      <c r="B26" s="21" t="s">
        <v>52</v>
      </c>
      <c r="C26" s="22" t="s">
        <v>53</v>
      </c>
      <c r="D26" s="23">
        <v>4056</v>
      </c>
      <c r="E26" s="24">
        <f t="shared" si="1"/>
        <v>1.2736119843119641E-2</v>
      </c>
      <c r="F26" s="25">
        <f t="shared" si="2"/>
        <v>1554.319886490274</v>
      </c>
      <c r="G26" s="26">
        <f t="shared" si="3"/>
        <v>77.715994324513701</v>
      </c>
      <c r="H26" s="26">
        <f t="shared" si="0"/>
        <v>1632.0358808147878</v>
      </c>
    </row>
    <row r="27" spans="1:12" customFormat="1" x14ac:dyDescent="0.25">
      <c r="A27" s="20" t="s">
        <v>54</v>
      </c>
      <c r="B27" s="21" t="s">
        <v>55</v>
      </c>
      <c r="C27" s="22" t="s">
        <v>56</v>
      </c>
      <c r="D27" s="23">
        <v>11580</v>
      </c>
      <c r="E27" s="24">
        <f t="shared" si="1"/>
        <v>3.6361998960385951E-2</v>
      </c>
      <c r="F27" s="25">
        <f t="shared" si="2"/>
        <v>4437.6292617251893</v>
      </c>
      <c r="G27" s="26">
        <f t="shared" si="3"/>
        <v>221.88146308625949</v>
      </c>
      <c r="H27" s="26">
        <f t="shared" si="0"/>
        <v>4659.5107248114491</v>
      </c>
    </row>
    <row r="28" spans="1:12" customFormat="1" x14ac:dyDescent="0.25">
      <c r="A28" s="20" t="s">
        <v>57</v>
      </c>
      <c r="B28" s="21" t="s">
        <v>58</v>
      </c>
      <c r="C28" s="22" t="s">
        <v>178</v>
      </c>
      <c r="D28" s="23">
        <f>360+360+1510</f>
        <v>2230</v>
      </c>
      <c r="E28" s="24">
        <f t="shared" si="1"/>
        <v>7.0023538585199203E-3</v>
      </c>
      <c r="F28" s="25">
        <f t="shared" si="2"/>
        <v>854.56936559992869</v>
      </c>
      <c r="G28" s="26">
        <f t="shared" si="3"/>
        <v>42.728468279996434</v>
      </c>
      <c r="H28" s="26">
        <f t="shared" si="0"/>
        <v>897.29783387992507</v>
      </c>
    </row>
    <row r="29" spans="1:12" s="33" customFormat="1" ht="15.75" customHeight="1" x14ac:dyDescent="0.25">
      <c r="A29" s="20" t="s">
        <v>60</v>
      </c>
      <c r="B29" s="29" t="s">
        <v>61</v>
      </c>
      <c r="C29" s="30" t="s">
        <v>62</v>
      </c>
      <c r="D29" s="23">
        <f>5224+3930</f>
        <v>9154</v>
      </c>
      <c r="E29" s="24">
        <f t="shared" si="1"/>
        <v>2.8744191578875044E-2</v>
      </c>
      <c r="F29" s="25">
        <f t="shared" si="2"/>
        <v>3507.9497635433841</v>
      </c>
      <c r="G29" s="26">
        <f t="shared" si="3"/>
        <v>175.39748817716921</v>
      </c>
      <c r="H29" s="31">
        <f t="shared" si="0"/>
        <v>3683.3472517205532</v>
      </c>
      <c r="I29" s="32" t="s">
        <v>63</v>
      </c>
      <c r="L29" s="33" t="s">
        <v>64</v>
      </c>
    </row>
    <row r="30" spans="1:12" customFormat="1" ht="15.75" customHeight="1" x14ac:dyDescent="0.25">
      <c r="A30" s="20" t="s">
        <v>65</v>
      </c>
      <c r="B30" s="28" t="s">
        <v>66</v>
      </c>
      <c r="C30" s="22" t="s">
        <v>67</v>
      </c>
      <c r="D30" s="23">
        <v>2610</v>
      </c>
      <c r="E30" s="24">
        <f t="shared" si="1"/>
        <v>8.195580076563673E-3</v>
      </c>
      <c r="F30" s="25">
        <f t="shared" si="2"/>
        <v>1000.1910512178537</v>
      </c>
      <c r="G30" s="26">
        <f t="shared" si="3"/>
        <v>50.009552560892686</v>
      </c>
      <c r="H30" s="26">
        <f t="shared" si="0"/>
        <v>1050.2006037787464</v>
      </c>
    </row>
    <row r="31" spans="1:12" customFormat="1" ht="15.75" customHeight="1" x14ac:dyDescent="0.25">
      <c r="A31" s="20" t="s">
        <v>68</v>
      </c>
      <c r="B31" s="28" t="s">
        <v>69</v>
      </c>
      <c r="C31" s="22" t="s">
        <v>70</v>
      </c>
      <c r="D31" s="23">
        <v>5515</v>
      </c>
      <c r="E31" s="24">
        <f t="shared" si="1"/>
        <v>1.7317480506608682E-2</v>
      </c>
      <c r="F31" s="25">
        <f t="shared" si="2"/>
        <v>2113.4305162706755</v>
      </c>
      <c r="G31" s="26">
        <f t="shared" si="3"/>
        <v>105.67152581353378</v>
      </c>
      <c r="H31" s="26">
        <f t="shared" si="0"/>
        <v>2219.1020420842092</v>
      </c>
    </row>
    <row r="32" spans="1:12" customFormat="1" ht="15.75" customHeight="1" x14ac:dyDescent="0.25">
      <c r="A32" s="20" t="s">
        <v>71</v>
      </c>
      <c r="B32" s="21" t="s">
        <v>72</v>
      </c>
      <c r="C32" s="22">
        <v>17202383000183</v>
      </c>
      <c r="D32" s="23">
        <v>15332</v>
      </c>
      <c r="E32" s="24">
        <f t="shared" si="1"/>
        <v>4.814353782907059E-2</v>
      </c>
      <c r="F32" s="25">
        <f t="shared" si="2"/>
        <v>5875.4517997211233</v>
      </c>
      <c r="G32" s="26">
        <f t="shared" si="3"/>
        <v>293.77258998605618</v>
      </c>
      <c r="H32" s="26">
        <f t="shared" si="0"/>
        <v>6169.2243897071794</v>
      </c>
    </row>
    <row r="33" spans="1:12" customFormat="1" ht="15.75" customHeight="1" x14ac:dyDescent="0.25">
      <c r="A33" s="20" t="s">
        <v>73</v>
      </c>
      <c r="B33" s="21" t="s">
        <v>74</v>
      </c>
      <c r="C33" s="22">
        <v>18183488000103</v>
      </c>
      <c r="D33" s="23">
        <v>7238</v>
      </c>
      <c r="E33" s="24">
        <f t="shared" si="1"/>
        <v>2.2727819384738647E-2</v>
      </c>
      <c r="F33" s="25">
        <f t="shared" si="2"/>
        <v>2773.7098960593198</v>
      </c>
      <c r="G33" s="26">
        <f t="shared" si="3"/>
        <v>138.68549480296599</v>
      </c>
      <c r="H33" s="26">
        <f t="shared" si="0"/>
        <v>2912.3953908622857</v>
      </c>
    </row>
    <row r="34" spans="1:12" customFormat="1" x14ac:dyDescent="0.25">
      <c r="A34" s="20" t="s">
        <v>75</v>
      </c>
      <c r="B34" s="21" t="s">
        <v>76</v>
      </c>
      <c r="C34" s="22">
        <v>18244070000150</v>
      </c>
      <c r="D34" s="23">
        <v>5941</v>
      </c>
      <c r="E34" s="24">
        <f t="shared" si="1"/>
        <v>1.8655149898415626E-2</v>
      </c>
      <c r="F34" s="25">
        <f t="shared" si="2"/>
        <v>2276.6800901476126</v>
      </c>
      <c r="G34" s="26">
        <f t="shared" si="3"/>
        <v>113.83400450738064</v>
      </c>
      <c r="H34" s="26">
        <f t="shared" si="0"/>
        <v>2390.5140946549932</v>
      </c>
    </row>
    <row r="35" spans="1:12" customFormat="1" x14ac:dyDescent="0.25">
      <c r="A35" s="20" t="s">
        <v>77</v>
      </c>
      <c r="B35" s="21" t="s">
        <v>78</v>
      </c>
      <c r="C35" s="22">
        <v>18244039000110</v>
      </c>
      <c r="D35" s="23">
        <v>4460</v>
      </c>
      <c r="E35" s="24">
        <f t="shared" si="1"/>
        <v>1.4004707717039841E-2</v>
      </c>
      <c r="F35" s="25">
        <f t="shared" si="2"/>
        <v>1709.1387311998574</v>
      </c>
      <c r="G35" s="26">
        <f t="shared" si="3"/>
        <v>85.456936559992869</v>
      </c>
      <c r="H35" s="26">
        <f t="shared" si="0"/>
        <v>1794.5956677598501</v>
      </c>
    </row>
    <row r="36" spans="1:12" customFormat="1" x14ac:dyDescent="0.25">
      <c r="A36" s="20" t="s">
        <v>79</v>
      </c>
      <c r="B36" s="21" t="s">
        <v>153</v>
      </c>
      <c r="C36" s="22" t="s">
        <v>154</v>
      </c>
      <c r="D36" s="23">
        <v>4415</v>
      </c>
      <c r="E36" s="24">
        <f t="shared" si="1"/>
        <v>1.3863404612271502E-2</v>
      </c>
      <c r="F36" s="25">
        <f t="shared" si="2"/>
        <v>1691.8940579029977</v>
      </c>
      <c r="G36" s="26">
        <f t="shared" si="3"/>
        <v>84.594702895149894</v>
      </c>
      <c r="H36" s="26">
        <f t="shared" si="0"/>
        <v>1776.4887607981475</v>
      </c>
    </row>
    <row r="37" spans="1:12" customFormat="1" x14ac:dyDescent="0.25">
      <c r="A37" s="20" t="s">
        <v>81</v>
      </c>
      <c r="B37" s="21" t="s">
        <v>82</v>
      </c>
      <c r="C37" s="22" t="s">
        <v>83</v>
      </c>
      <c r="D37" s="23">
        <v>8673</v>
      </c>
      <c r="E37" s="24">
        <f t="shared" si="1"/>
        <v>2.7233818392351242E-2</v>
      </c>
      <c r="F37" s="25">
        <f t="shared" si="2"/>
        <v>3323.6233667480633</v>
      </c>
      <c r="G37" s="26">
        <f t="shared" si="3"/>
        <v>166.18116833740316</v>
      </c>
      <c r="H37" s="26">
        <f t="shared" si="0"/>
        <v>3489.8045350854663</v>
      </c>
    </row>
    <row r="38" spans="1:12" customFormat="1" x14ac:dyDescent="0.25">
      <c r="A38" s="20" t="s">
        <v>84</v>
      </c>
      <c r="B38" s="21" t="s">
        <v>155</v>
      </c>
      <c r="C38" s="22" t="s">
        <v>86</v>
      </c>
      <c r="D38" s="23">
        <v>9239</v>
      </c>
      <c r="E38" s="24">
        <f t="shared" si="1"/>
        <v>2.9011097443437463E-2</v>
      </c>
      <c r="F38" s="25">
        <f t="shared" si="2"/>
        <v>3540.523035326341</v>
      </c>
      <c r="G38" s="26">
        <f t="shared" si="3"/>
        <v>177.02615176631707</v>
      </c>
      <c r="H38" s="26">
        <f t="shared" si="0"/>
        <v>3717.549187092658</v>
      </c>
    </row>
    <row r="39" spans="1:12" customFormat="1" x14ac:dyDescent="0.25">
      <c r="A39" s="20" t="s">
        <v>87</v>
      </c>
      <c r="B39" s="21" t="s">
        <v>88</v>
      </c>
      <c r="C39" s="22" t="s">
        <v>89</v>
      </c>
      <c r="D39" s="23">
        <v>4892</v>
      </c>
      <c r="E39" s="24">
        <f t="shared" si="1"/>
        <v>1.5361217522815896E-2</v>
      </c>
      <c r="F39" s="25">
        <f t="shared" si="2"/>
        <v>1874.6875948497088</v>
      </c>
      <c r="G39" s="26">
        <f t="shared" si="3"/>
        <v>93.734379742485444</v>
      </c>
      <c r="H39" s="26">
        <f t="shared" si="0"/>
        <v>1968.4219745921944</v>
      </c>
    </row>
    <row r="40" spans="1:12" customFormat="1" x14ac:dyDescent="0.25">
      <c r="A40" s="20" t="s">
        <v>90</v>
      </c>
      <c r="B40" s="21" t="s">
        <v>91</v>
      </c>
      <c r="C40" s="22">
        <v>41497649000147</v>
      </c>
      <c r="D40" s="23">
        <v>2526</v>
      </c>
      <c r="E40" s="24">
        <f t="shared" si="1"/>
        <v>7.9318142809961072E-3</v>
      </c>
      <c r="F40" s="25">
        <f t="shared" si="2"/>
        <v>968.00099439704923</v>
      </c>
      <c r="G40" s="26">
        <f t="shared" si="3"/>
        <v>48.400049719852461</v>
      </c>
      <c r="H40" s="26">
        <f t="shared" si="0"/>
        <v>1016.4010441169016</v>
      </c>
    </row>
    <row r="41" spans="1:12" customFormat="1" x14ac:dyDescent="0.25">
      <c r="A41" s="20" t="s">
        <v>92</v>
      </c>
      <c r="B41" s="21" t="s">
        <v>93</v>
      </c>
      <c r="C41" s="22">
        <v>40580071000125</v>
      </c>
      <c r="D41" s="23">
        <v>3600</v>
      </c>
      <c r="E41" s="24">
        <f t="shared" si="1"/>
        <v>1.1304248381467137E-2</v>
      </c>
      <c r="F41" s="25">
        <f t="shared" si="2"/>
        <v>1379.5738637487639</v>
      </c>
      <c r="G41" s="26">
        <f t="shared" si="3"/>
        <v>68.978693187438196</v>
      </c>
      <c r="H41" s="26">
        <f t="shared" si="0"/>
        <v>1448.5525569362021</v>
      </c>
      <c r="I41" s="32" t="s">
        <v>63</v>
      </c>
      <c r="L41" t="s">
        <v>94</v>
      </c>
    </row>
    <row r="42" spans="1:12" customFormat="1" x14ac:dyDescent="0.25">
      <c r="A42" s="20" t="s">
        <v>95</v>
      </c>
      <c r="B42" s="21" t="s">
        <v>96</v>
      </c>
      <c r="C42" s="22" t="s">
        <v>97</v>
      </c>
      <c r="D42" s="23">
        <v>3938</v>
      </c>
      <c r="E42" s="24">
        <f t="shared" si="1"/>
        <v>1.2365591701727106E-2</v>
      </c>
      <c r="F42" s="25">
        <f t="shared" si="2"/>
        <v>1509.1005209562866</v>
      </c>
      <c r="G42" s="26">
        <f t="shared" si="3"/>
        <v>75.455026047814329</v>
      </c>
      <c r="H42" s="26">
        <f t="shared" si="0"/>
        <v>1584.5555470041008</v>
      </c>
    </row>
    <row r="43" spans="1:12" customFormat="1" x14ac:dyDescent="0.25">
      <c r="A43" s="20" t="s">
        <v>98</v>
      </c>
      <c r="B43" s="21" t="s">
        <v>167</v>
      </c>
      <c r="C43" s="22" t="s">
        <v>168</v>
      </c>
      <c r="D43" s="23">
        <v>3707</v>
      </c>
      <c r="E43" s="24">
        <f t="shared" si="1"/>
        <v>1.1640235763916299E-2</v>
      </c>
      <c r="F43" s="25">
        <f t="shared" si="2"/>
        <v>1420.5778646990743</v>
      </c>
      <c r="G43" s="26">
        <f t="shared" si="3"/>
        <v>71.028893234953713</v>
      </c>
      <c r="H43" s="26">
        <f t="shared" si="0"/>
        <v>1491.6067579340281</v>
      </c>
    </row>
    <row r="44" spans="1:12" customFormat="1" x14ac:dyDescent="0.25">
      <c r="A44" s="20" t="s">
        <v>100</v>
      </c>
      <c r="B44" s="21" t="s">
        <v>101</v>
      </c>
      <c r="C44" s="22">
        <v>42109766000159</v>
      </c>
      <c r="D44" s="23">
        <v>5117</v>
      </c>
      <c r="E44" s="24">
        <f t="shared" si="1"/>
        <v>1.6067733046657592E-2</v>
      </c>
      <c r="F44" s="25">
        <f t="shared" si="2"/>
        <v>1960.9109613340065</v>
      </c>
      <c r="G44" s="26">
        <f t="shared" si="3"/>
        <v>98.045548066700334</v>
      </c>
      <c r="H44" s="26">
        <f t="shared" si="0"/>
        <v>2058.9565094007066</v>
      </c>
    </row>
    <row r="45" spans="1:12" customFormat="1" x14ac:dyDescent="0.25">
      <c r="A45" s="20" t="s">
        <v>102</v>
      </c>
      <c r="B45" s="21" t="s">
        <v>99</v>
      </c>
      <c r="C45" s="22">
        <v>18788190000119</v>
      </c>
      <c r="D45" s="23">
        <v>14717</v>
      </c>
      <c r="E45" s="24">
        <f t="shared" si="1"/>
        <v>4.6212395397236622E-2</v>
      </c>
      <c r="F45" s="25">
        <f t="shared" si="2"/>
        <v>5639.774597997377</v>
      </c>
      <c r="G45" s="26">
        <f t="shared" si="3"/>
        <v>281.98872989986887</v>
      </c>
      <c r="H45" s="26">
        <f t="shared" si="0"/>
        <v>5921.7633278972462</v>
      </c>
    </row>
    <row r="46" spans="1:12" customFormat="1" ht="13.5" customHeight="1" x14ac:dyDescent="0.25">
      <c r="A46" s="20" t="s">
        <v>103</v>
      </c>
      <c r="B46" s="21" t="s">
        <v>104</v>
      </c>
      <c r="C46" s="22">
        <v>32302613000170</v>
      </c>
      <c r="D46" s="23">
        <v>5439</v>
      </c>
      <c r="E46" s="24">
        <f t="shared" si="1"/>
        <v>1.7078835262999931E-2</v>
      </c>
      <c r="F46" s="25">
        <f t="shared" si="2"/>
        <v>2084.3061791470905</v>
      </c>
      <c r="G46" s="26">
        <f t="shared" si="3"/>
        <v>104.21530895735452</v>
      </c>
      <c r="H46" s="26">
        <f t="shared" si="0"/>
        <v>2188.5214881044449</v>
      </c>
    </row>
    <row r="47" spans="1:12" customFormat="1" x14ac:dyDescent="0.25">
      <c r="A47" s="20" t="s">
        <v>105</v>
      </c>
      <c r="B47" s="21" t="s">
        <v>106</v>
      </c>
      <c r="C47" s="22">
        <v>28616552000148</v>
      </c>
      <c r="D47" s="23">
        <v>4123.71</v>
      </c>
      <c r="E47" s="24">
        <f t="shared" si="1"/>
        <v>1.2948733914761068E-2</v>
      </c>
      <c r="F47" s="25">
        <f t="shared" si="2"/>
        <v>1580.2673715776152</v>
      </c>
      <c r="G47" s="26">
        <f t="shared" si="3"/>
        <v>79.013368578880772</v>
      </c>
      <c r="H47" s="26">
        <f t="shared" si="0"/>
        <v>1659.280740156496</v>
      </c>
    </row>
    <row r="48" spans="1:12" customFormat="1" x14ac:dyDescent="0.25">
      <c r="A48" s="20" t="s">
        <v>107</v>
      </c>
      <c r="B48" s="21" t="s">
        <v>108</v>
      </c>
      <c r="C48" s="22">
        <v>42579914000107</v>
      </c>
      <c r="D48" s="23">
        <v>4986.3599999999997</v>
      </c>
      <c r="E48" s="24">
        <f t="shared" si="1"/>
        <v>1.5657514433170129E-2</v>
      </c>
      <c r="F48" s="25">
        <f t="shared" si="2"/>
        <v>1910.8477586784124</v>
      </c>
      <c r="G48" s="26">
        <f t="shared" si="3"/>
        <v>95.542387933920622</v>
      </c>
      <c r="H48" s="26">
        <f t="shared" si="0"/>
        <v>2006.390146612333</v>
      </c>
    </row>
    <row r="49" spans="1:10" customFormat="1" x14ac:dyDescent="0.25">
      <c r="A49" s="20" t="s">
        <v>199</v>
      </c>
      <c r="B49" s="21" t="s">
        <v>200</v>
      </c>
      <c r="C49" s="22" t="s">
        <v>201</v>
      </c>
      <c r="D49" s="23">
        <v>3946</v>
      </c>
      <c r="E49" s="24">
        <f t="shared" si="1"/>
        <v>1.2390712253685921E-2</v>
      </c>
      <c r="F49" s="25">
        <f t="shared" si="2"/>
        <v>1512.1662406535061</v>
      </c>
      <c r="G49" s="26">
        <f t="shared" si="3"/>
        <v>75.6083120326753</v>
      </c>
      <c r="H49" s="26">
        <f t="shared" si="0"/>
        <v>1587.7745526861813</v>
      </c>
      <c r="J49" s="44"/>
    </row>
    <row r="50" spans="1:10" customFormat="1" x14ac:dyDescent="0.25">
      <c r="A50" s="20" t="s">
        <v>202</v>
      </c>
      <c r="B50" s="21" t="s">
        <v>203</v>
      </c>
      <c r="C50" s="22" t="s">
        <v>204</v>
      </c>
      <c r="D50" s="23">
        <v>3516</v>
      </c>
      <c r="E50" s="24">
        <f t="shared" si="1"/>
        <v>1.1040482585899569E-2</v>
      </c>
      <c r="F50" s="25">
        <f t="shared" si="2"/>
        <v>1347.3838069279593</v>
      </c>
      <c r="G50" s="26">
        <f t="shared" si="3"/>
        <v>67.369190346397971</v>
      </c>
      <c r="H50" s="26">
        <f t="shared" si="0"/>
        <v>1414.7529972743573</v>
      </c>
      <c r="J50" s="44"/>
    </row>
    <row r="51" spans="1:10" customFormat="1" x14ac:dyDescent="0.25">
      <c r="A51" s="20" t="s">
        <v>112</v>
      </c>
      <c r="B51" s="21" t="s">
        <v>205</v>
      </c>
      <c r="C51" s="22" t="s">
        <v>206</v>
      </c>
      <c r="D51" s="23">
        <v>5525</v>
      </c>
      <c r="E51" s="24">
        <f t="shared" si="1"/>
        <v>1.7348881196557201E-2</v>
      </c>
      <c r="F51" s="25">
        <f t="shared" si="2"/>
        <v>2117.2626658921999</v>
      </c>
      <c r="G51" s="26">
        <f t="shared" si="3"/>
        <v>105.86313329461001</v>
      </c>
      <c r="H51" s="26">
        <f t="shared" si="0"/>
        <v>2223.1257991868101</v>
      </c>
    </row>
    <row r="52" spans="1:10" customFormat="1" x14ac:dyDescent="0.25">
      <c r="A52" s="20" t="s">
        <v>179</v>
      </c>
      <c r="B52" s="21" t="s">
        <v>180</v>
      </c>
      <c r="C52" s="22" t="s">
        <v>181</v>
      </c>
      <c r="D52" s="23">
        <v>11302</v>
      </c>
      <c r="E52" s="24">
        <f t="shared" si="1"/>
        <v>3.5489059779817103E-2</v>
      </c>
      <c r="F52" s="25">
        <f t="shared" si="2"/>
        <v>4331.0955022468133</v>
      </c>
      <c r="G52" s="26">
        <f t="shared" si="3"/>
        <v>216.55477511234068</v>
      </c>
      <c r="H52" s="26">
        <f t="shared" si="0"/>
        <v>4547.6502773591537</v>
      </c>
    </row>
    <row r="53" spans="1:10" customFormat="1" x14ac:dyDescent="0.25">
      <c r="A53" s="20" t="s">
        <v>117</v>
      </c>
      <c r="B53" s="21" t="s">
        <v>118</v>
      </c>
      <c r="C53" s="22" t="s">
        <v>119</v>
      </c>
      <c r="D53" s="23">
        <v>4943</v>
      </c>
      <c r="E53" s="24">
        <f t="shared" si="1"/>
        <v>1.5521361041553348E-2</v>
      </c>
      <c r="F53" s="25">
        <f t="shared" si="2"/>
        <v>1894.2315579194831</v>
      </c>
      <c r="G53" s="26">
        <f t="shared" si="3"/>
        <v>94.711577895974159</v>
      </c>
      <c r="H53" s="26">
        <f t="shared" si="0"/>
        <v>1988.9431358154573</v>
      </c>
    </row>
    <row r="54" spans="1:10" customFormat="1" x14ac:dyDescent="0.25">
      <c r="A54" s="20" t="s">
        <v>120</v>
      </c>
      <c r="B54" s="21" t="s">
        <v>121</v>
      </c>
      <c r="C54" s="22">
        <v>12997366000166</v>
      </c>
      <c r="D54" s="23">
        <v>5160</v>
      </c>
      <c r="E54" s="24">
        <f t="shared" si="1"/>
        <v>1.620275601343623E-2</v>
      </c>
      <c r="F54" s="25">
        <f t="shared" si="2"/>
        <v>1977.3892047065615</v>
      </c>
      <c r="G54" s="26">
        <f t="shared" si="3"/>
        <v>98.869460235328077</v>
      </c>
      <c r="H54" s="26">
        <f t="shared" si="0"/>
        <v>2076.2586649418895</v>
      </c>
    </row>
    <row r="55" spans="1:10" customFormat="1" ht="16.5" customHeight="1" x14ac:dyDescent="0.25">
      <c r="A55" s="20" t="s">
        <v>122</v>
      </c>
      <c r="B55" s="21" t="s">
        <v>123</v>
      </c>
      <c r="C55" s="22" t="s">
        <v>124</v>
      </c>
      <c r="D55" s="23">
        <v>6586</v>
      </c>
      <c r="E55" s="24">
        <f t="shared" si="1"/>
        <v>2.0680494400095156E-2</v>
      </c>
      <c r="F55" s="25">
        <f t="shared" si="2"/>
        <v>2523.8537407359327</v>
      </c>
      <c r="G55" s="26">
        <f t="shared" si="3"/>
        <v>126.19268703679664</v>
      </c>
      <c r="H55" s="26">
        <f t="shared" si="0"/>
        <v>2650.0464277727292</v>
      </c>
    </row>
    <row r="56" spans="1:10" customFormat="1" x14ac:dyDescent="0.25">
      <c r="A56" s="20" t="s">
        <v>125</v>
      </c>
      <c r="B56" s="86" t="s">
        <v>126</v>
      </c>
      <c r="C56" s="22">
        <v>11884518000151</v>
      </c>
      <c r="D56" s="23">
        <v>5644</v>
      </c>
      <c r="E56" s="24">
        <f t="shared" si="1"/>
        <v>1.7722549406944586E-2</v>
      </c>
      <c r="F56" s="25">
        <f t="shared" si="2"/>
        <v>2162.8652463883395</v>
      </c>
      <c r="G56" s="26">
        <f t="shared" si="3"/>
        <v>108.14326231941698</v>
      </c>
      <c r="H56" s="26">
        <f t="shared" si="0"/>
        <v>2271.0085087077564</v>
      </c>
    </row>
    <row r="57" spans="1:10" s="63" customFormat="1" x14ac:dyDescent="0.25">
      <c r="A57" s="56" t="s">
        <v>147</v>
      </c>
      <c r="B57" s="57" t="s">
        <v>148</v>
      </c>
      <c r="C57" s="58">
        <v>41142377000162</v>
      </c>
      <c r="D57" s="59">
        <v>1134.82</v>
      </c>
      <c r="E57" s="60">
        <f t="shared" si="1"/>
        <v>3.5634130967379263E-3</v>
      </c>
      <c r="F57" s="61">
        <f t="shared" si="2"/>
        <v>434.88000334982559</v>
      </c>
      <c r="G57" s="62">
        <f t="shared" si="3"/>
        <v>21.744000167491279</v>
      </c>
      <c r="H57" s="62">
        <f t="shared" si="0"/>
        <v>456.62400351731685</v>
      </c>
    </row>
    <row r="58" spans="1:10" customFormat="1" x14ac:dyDescent="0.25">
      <c r="A58" s="20" t="s">
        <v>127</v>
      </c>
      <c r="B58" s="86" t="s">
        <v>128</v>
      </c>
      <c r="C58" s="22">
        <v>36188051000136</v>
      </c>
      <c r="D58" s="23">
        <v>6936</v>
      </c>
      <c r="E58" s="24">
        <f t="shared" si="1"/>
        <v>2.1779518548293349E-2</v>
      </c>
      <c r="F58" s="25">
        <f t="shared" si="2"/>
        <v>2657.9789774892847</v>
      </c>
      <c r="G58" s="26">
        <f t="shared" si="3"/>
        <v>132.89894887446425</v>
      </c>
      <c r="H58" s="26">
        <f t="shared" si="0"/>
        <v>2790.8779263637489</v>
      </c>
    </row>
    <row r="59" spans="1:10" customFormat="1" x14ac:dyDescent="0.25">
      <c r="A59" s="20" t="s">
        <v>129</v>
      </c>
      <c r="B59" s="86" t="s">
        <v>130</v>
      </c>
      <c r="C59" s="22" t="s">
        <v>131</v>
      </c>
      <c r="D59" s="23">
        <f>7425*40%</f>
        <v>2970</v>
      </c>
      <c r="E59" s="24">
        <f t="shared" si="1"/>
        <v>9.3260049147103879E-3</v>
      </c>
      <c r="F59" s="25">
        <f t="shared" si="2"/>
        <v>1138.1484375927303</v>
      </c>
      <c r="G59" s="26">
        <f t="shared" si="3"/>
        <v>56.907421879636516</v>
      </c>
      <c r="H59" s="26">
        <f t="shared" si="0"/>
        <v>1195.0558594723668</v>
      </c>
    </row>
    <row r="60" spans="1:10" customFormat="1" x14ac:dyDescent="0.25">
      <c r="A60" s="20" t="s">
        <v>132</v>
      </c>
      <c r="B60" s="86" t="s">
        <v>133</v>
      </c>
      <c r="C60" s="22">
        <v>18741082000190</v>
      </c>
      <c r="D60" s="23">
        <v>12183</v>
      </c>
      <c r="E60" s="24">
        <f t="shared" si="1"/>
        <v>3.8255460564281703E-2</v>
      </c>
      <c r="F60" s="25">
        <f t="shared" si="2"/>
        <v>4668.7078839031083</v>
      </c>
      <c r="G60" s="26">
        <f t="shared" si="3"/>
        <v>233.43539419515542</v>
      </c>
      <c r="H60" s="26">
        <f t="shared" si="0"/>
        <v>4902.1432780982641</v>
      </c>
    </row>
    <row r="61" spans="1:10" customFormat="1" x14ac:dyDescent="0.25">
      <c r="A61" s="20" t="s">
        <v>134</v>
      </c>
      <c r="B61" s="86" t="s">
        <v>207</v>
      </c>
      <c r="C61" s="22"/>
      <c r="D61" s="23">
        <v>4814</v>
      </c>
      <c r="E61" s="24">
        <f t="shared" si="1"/>
        <v>1.5116292141217442E-2</v>
      </c>
      <c r="F61" s="25">
        <f t="shared" si="2"/>
        <v>1844.7968278018191</v>
      </c>
      <c r="G61" s="26">
        <f t="shared" si="3"/>
        <v>92.239841390090959</v>
      </c>
      <c r="H61" s="26">
        <f t="shared" si="0"/>
        <v>1937.0366691919101</v>
      </c>
    </row>
    <row r="62" spans="1:10" customFormat="1" x14ac:dyDescent="0.25">
      <c r="A62" s="20" t="s">
        <v>183</v>
      </c>
      <c r="B62" s="21" t="s">
        <v>184</v>
      </c>
      <c r="C62" s="22" t="s">
        <v>185</v>
      </c>
      <c r="D62" s="23">
        <f>6188.23+4126.33</f>
        <v>10314.56</v>
      </c>
      <c r="E62" s="24">
        <f t="shared" si="1"/>
        <v>3.2388430051540462E-2</v>
      </c>
      <c r="F62" s="25">
        <f t="shared" si="2"/>
        <v>3952.6937200190137</v>
      </c>
      <c r="G62" s="26">
        <f>F62*5%</f>
        <v>197.63468600095069</v>
      </c>
      <c r="H62" s="26">
        <f>F62+G62</f>
        <v>4150.3284060199639</v>
      </c>
    </row>
    <row r="63" spans="1:10" customFormat="1" x14ac:dyDescent="0.25">
      <c r="A63" s="20" t="s">
        <v>137</v>
      </c>
      <c r="B63" s="86" t="s">
        <v>138</v>
      </c>
      <c r="C63" s="22" t="s">
        <v>139</v>
      </c>
      <c r="D63" s="23">
        <v>3476.86</v>
      </c>
      <c r="E63" s="24">
        <f t="shared" si="1"/>
        <v>1.0917580285441063E-2</v>
      </c>
      <c r="F63" s="25">
        <f t="shared" si="2"/>
        <v>1332.384773309313</v>
      </c>
      <c r="G63" s="26">
        <f t="shared" si="3"/>
        <v>66.619238665465659</v>
      </c>
      <c r="H63" s="26">
        <f t="shared" si="0"/>
        <v>1399.0040119747787</v>
      </c>
    </row>
    <row r="64" spans="1:10" customFormat="1" x14ac:dyDescent="0.25">
      <c r="A64" s="20" t="s">
        <v>140</v>
      </c>
      <c r="B64" s="28" t="s">
        <v>141</v>
      </c>
      <c r="C64" s="22">
        <v>11884518000151</v>
      </c>
      <c r="D64" s="23">
        <f>81377.44-14717-3314-9239-9403+9177.57</f>
        <v>53882.01</v>
      </c>
      <c r="E64" s="24">
        <f t="shared" si="1"/>
        <v>0.16919322898130446</v>
      </c>
      <c r="F64" s="25">
        <f t="shared" si="2"/>
        <v>20648.39242284709</v>
      </c>
      <c r="G64" s="26">
        <f t="shared" si="3"/>
        <v>1032.4196211423546</v>
      </c>
      <c r="H64" s="26">
        <f t="shared" si="0"/>
        <v>21680.812043989445</v>
      </c>
    </row>
    <row r="65" spans="1:8" customFormat="1" x14ac:dyDescent="0.25">
      <c r="A65" s="34"/>
      <c r="B65" s="35"/>
      <c r="C65" s="36" t="s">
        <v>142</v>
      </c>
      <c r="D65" s="37">
        <f>SUM(D20:D64)</f>
        <v>318464.34000000003</v>
      </c>
      <c r="E65" s="38">
        <f>SUM(E20:E64)</f>
        <v>0.99999999999999978</v>
      </c>
      <c r="F65" s="98">
        <f>SUM(F20:F64)</f>
        <v>122040.29999999996</v>
      </c>
      <c r="G65" s="98">
        <f>SUM(G20:G64)</f>
        <v>6102.0149999999994</v>
      </c>
      <c r="H65" s="99">
        <f>SUM(H20:H64)</f>
        <v>128142.31499999996</v>
      </c>
    </row>
    <row r="66" spans="1:8" customFormat="1" x14ac:dyDescent="0.25">
      <c r="D66" s="44"/>
      <c r="F66" s="41"/>
    </row>
    <row r="67" spans="1:8" customFormat="1" x14ac:dyDescent="0.25">
      <c r="F67" s="41"/>
    </row>
    <row r="68" spans="1:8" customFormat="1" x14ac:dyDescent="0.25">
      <c r="D68" s="44"/>
      <c r="E68" s="41"/>
      <c r="H68" s="42"/>
    </row>
    <row r="69" spans="1:8" customFormat="1" x14ac:dyDescent="0.25">
      <c r="E69" s="41"/>
    </row>
    <row r="70" spans="1:8" customFormat="1" x14ac:dyDescent="0.25"/>
    <row r="71" spans="1:8" customFormat="1" x14ac:dyDescent="0.25"/>
    <row r="72" spans="1:8" customFormat="1" x14ac:dyDescent="0.25"/>
    <row r="73" spans="1:8" customFormat="1" x14ac:dyDescent="0.25">
      <c r="C73" s="44"/>
    </row>
    <row r="74" spans="1:8" customFormat="1" x14ac:dyDescent="0.25"/>
    <row r="75" spans="1:8" customFormat="1" x14ac:dyDescent="0.25"/>
    <row r="76" spans="1:8" customFormat="1" x14ac:dyDescent="0.25"/>
    <row r="77" spans="1:8" customFormat="1" x14ac:dyDescent="0.25"/>
    <row r="78" spans="1:8" customFormat="1" x14ac:dyDescent="0.25"/>
    <row r="79" spans="1:8" customFormat="1" x14ac:dyDescent="0.25"/>
    <row r="80" spans="1:8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spans="1:8" customFormat="1" x14ac:dyDescent="0.25"/>
    <row r="146" spans="1:8" customFormat="1" x14ac:dyDescent="0.25"/>
    <row r="147" spans="1:8" customFormat="1" x14ac:dyDescent="0.25"/>
    <row r="148" spans="1:8" customFormat="1" x14ac:dyDescent="0.25"/>
    <row r="149" spans="1:8" customFormat="1" x14ac:dyDescent="0.25">
      <c r="A149" s="100"/>
      <c r="B149" s="100"/>
      <c r="C149" s="100"/>
      <c r="D149" s="100"/>
      <c r="E149" s="100"/>
    </row>
    <row r="150" spans="1:8" x14ac:dyDescent="0.25">
      <c r="F150"/>
      <c r="G150"/>
      <c r="H150"/>
    </row>
    <row r="151" spans="1:8" x14ac:dyDescent="0.25">
      <c r="F151"/>
      <c r="G151"/>
      <c r="H151"/>
    </row>
    <row r="152" spans="1:8" x14ac:dyDescent="0.25">
      <c r="F152"/>
      <c r="G152"/>
      <c r="H152"/>
    </row>
    <row r="153" spans="1:8" x14ac:dyDescent="0.25">
      <c r="F153"/>
      <c r="G153"/>
      <c r="H153"/>
    </row>
    <row r="154" spans="1:8" x14ac:dyDescent="0.25">
      <c r="F154"/>
      <c r="G154"/>
      <c r="H154"/>
    </row>
    <row r="155" spans="1:8" x14ac:dyDescent="0.25">
      <c r="F155"/>
      <c r="G155"/>
      <c r="H155"/>
    </row>
    <row r="156" spans="1:8" x14ac:dyDescent="0.25">
      <c r="F156"/>
      <c r="G156"/>
      <c r="H156"/>
    </row>
    <row r="157" spans="1:8" x14ac:dyDescent="0.25">
      <c r="F157"/>
      <c r="G157"/>
      <c r="H157"/>
    </row>
    <row r="158" spans="1:8" x14ac:dyDescent="0.25">
      <c r="F158"/>
      <c r="G158"/>
      <c r="H158"/>
    </row>
    <row r="159" spans="1:8" x14ac:dyDescent="0.25">
      <c r="F159"/>
      <c r="G159"/>
      <c r="H159"/>
    </row>
    <row r="160" spans="1:8" x14ac:dyDescent="0.25">
      <c r="F160"/>
      <c r="G160"/>
      <c r="H160"/>
    </row>
    <row r="161" spans="6:8" x14ac:dyDescent="0.25">
      <c r="F161"/>
      <c r="G161"/>
      <c r="H161"/>
    </row>
    <row r="162" spans="6:8" x14ac:dyDescent="0.25">
      <c r="F162"/>
      <c r="G162"/>
      <c r="H162"/>
    </row>
    <row r="163" spans="6:8" x14ac:dyDescent="0.25">
      <c r="F163"/>
      <c r="G163"/>
      <c r="H163"/>
    </row>
    <row r="164" spans="6:8" x14ac:dyDescent="0.25">
      <c r="F164"/>
      <c r="G164"/>
      <c r="H164"/>
    </row>
    <row r="165" spans="6:8" x14ac:dyDescent="0.25">
      <c r="F165"/>
      <c r="G165"/>
      <c r="H165"/>
    </row>
    <row r="166" spans="6:8" x14ac:dyDescent="0.25">
      <c r="F166"/>
      <c r="G166"/>
      <c r="H166"/>
    </row>
    <row r="167" spans="6:8" x14ac:dyDescent="0.25">
      <c r="F167"/>
      <c r="G167"/>
      <c r="H167"/>
    </row>
    <row r="168" spans="6:8" x14ac:dyDescent="0.25">
      <c r="F168"/>
      <c r="G168"/>
      <c r="H168"/>
    </row>
    <row r="169" spans="6:8" x14ac:dyDescent="0.25">
      <c r="F169"/>
      <c r="G169"/>
      <c r="H169"/>
    </row>
    <row r="170" spans="6:8" x14ac:dyDescent="0.25">
      <c r="F170"/>
      <c r="G170"/>
      <c r="H170"/>
    </row>
    <row r="171" spans="6:8" x14ac:dyDescent="0.25">
      <c r="F171"/>
      <c r="G171"/>
      <c r="H171"/>
    </row>
    <row r="172" spans="6:8" x14ac:dyDescent="0.25">
      <c r="F172"/>
      <c r="G172"/>
      <c r="H172"/>
    </row>
    <row r="173" spans="6:8" x14ac:dyDescent="0.25">
      <c r="F173"/>
      <c r="G173"/>
      <c r="H173"/>
    </row>
    <row r="174" spans="6:8" x14ac:dyDescent="0.25">
      <c r="F174"/>
      <c r="G174"/>
      <c r="H174"/>
    </row>
    <row r="175" spans="6:8" x14ac:dyDescent="0.25">
      <c r="F175"/>
      <c r="G175"/>
      <c r="H175"/>
    </row>
    <row r="176" spans="6:8" x14ac:dyDescent="0.25">
      <c r="F176"/>
      <c r="G176"/>
      <c r="H176"/>
    </row>
    <row r="177" spans="6:8" x14ac:dyDescent="0.25">
      <c r="F177"/>
      <c r="G177"/>
      <c r="H177"/>
    </row>
    <row r="178" spans="6:8" x14ac:dyDescent="0.25">
      <c r="F178"/>
      <c r="G178"/>
      <c r="H178"/>
    </row>
    <row r="179" spans="6:8" x14ac:dyDescent="0.25">
      <c r="F179"/>
      <c r="G179"/>
      <c r="H179"/>
    </row>
    <row r="180" spans="6:8" x14ac:dyDescent="0.25">
      <c r="F180"/>
      <c r="G180"/>
      <c r="H180"/>
    </row>
    <row r="181" spans="6:8" x14ac:dyDescent="0.25">
      <c r="F181"/>
      <c r="G181"/>
      <c r="H181"/>
    </row>
    <row r="182" spans="6:8" x14ac:dyDescent="0.25">
      <c r="F182"/>
      <c r="G182"/>
      <c r="H182"/>
    </row>
    <row r="183" spans="6:8" x14ac:dyDescent="0.25">
      <c r="F183"/>
      <c r="G183"/>
      <c r="H183"/>
    </row>
    <row r="184" spans="6:8" x14ac:dyDescent="0.25">
      <c r="F184"/>
      <c r="G184"/>
      <c r="H184"/>
    </row>
    <row r="185" spans="6:8" x14ac:dyDescent="0.25">
      <c r="F185"/>
      <c r="G185"/>
      <c r="H185"/>
    </row>
    <row r="186" spans="6:8" x14ac:dyDescent="0.25">
      <c r="F186"/>
      <c r="G186"/>
      <c r="H186"/>
    </row>
    <row r="187" spans="6:8" x14ac:dyDescent="0.25">
      <c r="F187"/>
      <c r="G187"/>
      <c r="H187"/>
    </row>
    <row r="188" spans="6:8" x14ac:dyDescent="0.25">
      <c r="F188"/>
      <c r="G188"/>
      <c r="H188"/>
    </row>
    <row r="189" spans="6:8" x14ac:dyDescent="0.25">
      <c r="F189"/>
      <c r="G189"/>
      <c r="H189"/>
    </row>
    <row r="190" spans="6:8" x14ac:dyDescent="0.25">
      <c r="F190"/>
      <c r="G190"/>
      <c r="H190"/>
    </row>
    <row r="191" spans="6:8" x14ac:dyDescent="0.25">
      <c r="F191"/>
      <c r="G191"/>
      <c r="H191"/>
    </row>
    <row r="192" spans="6:8" x14ac:dyDescent="0.25">
      <c r="F192"/>
      <c r="G192"/>
      <c r="H192"/>
    </row>
    <row r="193" spans="6:8" x14ac:dyDescent="0.25">
      <c r="F193"/>
      <c r="G193"/>
      <c r="H193"/>
    </row>
    <row r="194" spans="6:8" x14ac:dyDescent="0.25">
      <c r="F194"/>
      <c r="G194"/>
      <c r="H194"/>
    </row>
    <row r="195" spans="6:8" x14ac:dyDescent="0.25">
      <c r="F195"/>
      <c r="G195"/>
      <c r="H195"/>
    </row>
    <row r="196" spans="6:8" x14ac:dyDescent="0.25">
      <c r="F196"/>
      <c r="G196"/>
      <c r="H196"/>
    </row>
    <row r="197" spans="6:8" x14ac:dyDescent="0.25">
      <c r="F197"/>
      <c r="G197"/>
      <c r="H197"/>
    </row>
    <row r="198" spans="6:8" x14ac:dyDescent="0.25">
      <c r="F198"/>
      <c r="G198"/>
      <c r="H198"/>
    </row>
    <row r="199" spans="6:8" x14ac:dyDescent="0.25">
      <c r="F199"/>
      <c r="G199"/>
      <c r="H199"/>
    </row>
    <row r="200" spans="6:8" x14ac:dyDescent="0.25">
      <c r="F200"/>
      <c r="G200"/>
      <c r="H200"/>
    </row>
    <row r="201" spans="6:8" x14ac:dyDescent="0.25">
      <c r="F201"/>
      <c r="G201"/>
      <c r="H201"/>
    </row>
    <row r="202" spans="6:8" x14ac:dyDescent="0.25">
      <c r="F202"/>
      <c r="G202"/>
      <c r="H202"/>
    </row>
    <row r="203" spans="6:8" x14ac:dyDescent="0.25">
      <c r="F203"/>
      <c r="G203"/>
      <c r="H203"/>
    </row>
    <row r="204" spans="6:8" x14ac:dyDescent="0.25">
      <c r="F204"/>
      <c r="G204"/>
      <c r="H204"/>
    </row>
    <row r="205" spans="6:8" x14ac:dyDescent="0.25">
      <c r="F205"/>
      <c r="G205"/>
      <c r="H205"/>
    </row>
    <row r="206" spans="6:8" x14ac:dyDescent="0.25">
      <c r="F206"/>
      <c r="G206"/>
      <c r="H206"/>
    </row>
    <row r="207" spans="6:8" x14ac:dyDescent="0.25">
      <c r="F207"/>
      <c r="G207"/>
      <c r="H207"/>
    </row>
    <row r="208" spans="6:8" x14ac:dyDescent="0.25">
      <c r="F208"/>
      <c r="G208"/>
      <c r="H208"/>
    </row>
    <row r="209" spans="6:8" x14ac:dyDescent="0.25">
      <c r="F209"/>
      <c r="G209"/>
      <c r="H209"/>
    </row>
    <row r="210" spans="6:8" x14ac:dyDescent="0.25">
      <c r="F210"/>
      <c r="G210"/>
      <c r="H210"/>
    </row>
    <row r="211" spans="6:8" x14ac:dyDescent="0.25">
      <c r="F211"/>
      <c r="G211"/>
      <c r="H211"/>
    </row>
    <row r="212" spans="6:8" x14ac:dyDescent="0.25">
      <c r="F212"/>
      <c r="G212"/>
      <c r="H212"/>
    </row>
    <row r="213" spans="6:8" x14ac:dyDescent="0.25">
      <c r="F213"/>
      <c r="G213"/>
      <c r="H213"/>
    </row>
    <row r="214" spans="6:8" x14ac:dyDescent="0.25">
      <c r="F214"/>
      <c r="G214"/>
      <c r="H214"/>
    </row>
    <row r="215" spans="6:8" x14ac:dyDescent="0.25">
      <c r="F215"/>
      <c r="G215"/>
      <c r="H215"/>
    </row>
    <row r="216" spans="6:8" x14ac:dyDescent="0.25">
      <c r="F216"/>
      <c r="G216"/>
      <c r="H216"/>
    </row>
    <row r="217" spans="6:8" x14ac:dyDescent="0.25">
      <c r="F217"/>
      <c r="G217"/>
      <c r="H217"/>
    </row>
    <row r="218" spans="6:8" x14ac:dyDescent="0.25">
      <c r="F218"/>
      <c r="G218"/>
      <c r="H218"/>
    </row>
    <row r="219" spans="6:8" x14ac:dyDescent="0.25">
      <c r="F219"/>
      <c r="G219"/>
      <c r="H219"/>
    </row>
    <row r="220" spans="6:8" x14ac:dyDescent="0.25">
      <c r="F220"/>
      <c r="G220"/>
      <c r="H220"/>
    </row>
    <row r="221" spans="6:8" x14ac:dyDescent="0.25">
      <c r="F221"/>
      <c r="G221"/>
      <c r="H221"/>
    </row>
    <row r="222" spans="6:8" x14ac:dyDescent="0.25">
      <c r="F222"/>
      <c r="G222"/>
      <c r="H222"/>
    </row>
    <row r="223" spans="6:8" x14ac:dyDescent="0.25">
      <c r="F223"/>
      <c r="G223"/>
      <c r="H223"/>
    </row>
    <row r="224" spans="6:8" x14ac:dyDescent="0.25">
      <c r="F224"/>
      <c r="G224"/>
      <c r="H224"/>
    </row>
    <row r="225" spans="6:8" x14ac:dyDescent="0.25">
      <c r="F225"/>
      <c r="G225"/>
      <c r="H225"/>
    </row>
    <row r="226" spans="6:8" x14ac:dyDescent="0.25">
      <c r="F226"/>
      <c r="G226"/>
      <c r="H226"/>
    </row>
    <row r="227" spans="6:8" x14ac:dyDescent="0.25">
      <c r="F227"/>
      <c r="G227"/>
      <c r="H227"/>
    </row>
    <row r="228" spans="6:8" x14ac:dyDescent="0.25">
      <c r="F228"/>
      <c r="G228"/>
      <c r="H228"/>
    </row>
    <row r="229" spans="6:8" x14ac:dyDescent="0.25">
      <c r="F229"/>
      <c r="G229"/>
      <c r="H229"/>
    </row>
    <row r="230" spans="6:8" x14ac:dyDescent="0.25">
      <c r="F230"/>
      <c r="G230"/>
      <c r="H230"/>
    </row>
    <row r="231" spans="6:8" x14ac:dyDescent="0.25">
      <c r="G231"/>
      <c r="H231"/>
    </row>
  </sheetData>
  <autoFilter ref="A19:L65" xr:uid="{EF89F69C-AE2D-4213-8B8C-FE31A3656908}"/>
  <mergeCells count="1">
    <mergeCell ref="B1:G1"/>
  </mergeCells>
  <pageMargins left="0.511811024" right="0.511811024" top="0.78740157499999996" bottom="0.78740157499999996" header="0.31496062000000002" footer="0.3149606200000000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45F02-A79D-4418-BFC0-CB00B9C29D3C}">
  <dimension ref="A1:L234"/>
  <sheetViews>
    <sheetView tabSelected="1" topLeftCell="A28" zoomScaleNormal="100" workbookViewId="0">
      <selection activeCell="A28" sqref="A1:XFD1048576"/>
    </sheetView>
  </sheetViews>
  <sheetFormatPr defaultColWidth="9.140625" defaultRowHeight="15" x14ac:dyDescent="0.25"/>
  <cols>
    <col min="1" max="1" width="29.5703125" style="163" customWidth="1"/>
    <col min="2" max="2" width="30.5703125" style="163" customWidth="1"/>
    <col min="3" max="3" width="29.7109375" style="163" customWidth="1"/>
    <col min="4" max="4" width="21.42578125" style="163" customWidth="1"/>
    <col min="5" max="5" width="17.42578125" style="163" customWidth="1"/>
    <col min="6" max="6" width="16.42578125" style="163" customWidth="1"/>
    <col min="7" max="7" width="17.140625" style="163" customWidth="1"/>
    <col min="8" max="8" width="16.85546875" style="163" bestFit="1" customWidth="1"/>
    <col min="9" max="9" width="44.140625" style="163" bestFit="1" customWidth="1"/>
    <col min="10" max="10" width="15.42578125" style="163" bestFit="1" customWidth="1"/>
    <col min="11" max="16384" width="9.140625" style="163"/>
  </cols>
  <sheetData>
    <row r="1" spans="1:8" s="131" customFormat="1" ht="21.75" customHeight="1" x14ac:dyDescent="0.25">
      <c r="A1" s="126"/>
      <c r="B1" s="127" t="s">
        <v>0</v>
      </c>
      <c r="C1" s="128"/>
      <c r="D1" s="128"/>
      <c r="E1" s="128"/>
      <c r="F1" s="128"/>
      <c r="G1" s="129"/>
      <c r="H1" s="130"/>
    </row>
    <row r="2" spans="1:8" s="131" customFormat="1" ht="30" customHeight="1" x14ac:dyDescent="0.25">
      <c r="A2" s="132" t="s">
        <v>1</v>
      </c>
      <c r="B2" s="133" t="s">
        <v>2</v>
      </c>
      <c r="C2" s="133" t="s">
        <v>3</v>
      </c>
      <c r="D2" s="134" t="s">
        <v>4</v>
      </c>
      <c r="E2" s="134"/>
      <c r="F2" s="135" t="s">
        <v>5</v>
      </c>
      <c r="G2" s="136"/>
      <c r="H2" s="137"/>
    </row>
    <row r="3" spans="1:8" s="131" customFormat="1" ht="30.6" customHeight="1" x14ac:dyDescent="0.25">
      <c r="A3" s="138">
        <v>1</v>
      </c>
      <c r="B3" s="139" t="s">
        <v>6</v>
      </c>
      <c r="C3" s="139"/>
      <c r="D3" s="140">
        <v>45992</v>
      </c>
      <c r="E3" s="140"/>
      <c r="F3" s="10">
        <f>548.46+566.29+5000+5000</f>
        <v>11114.75</v>
      </c>
      <c r="G3" s="136"/>
      <c r="H3" s="137"/>
    </row>
    <row r="4" spans="1:8" s="131" customFormat="1" ht="30.6" customHeight="1" x14ac:dyDescent="0.25">
      <c r="A4" s="138">
        <v>2</v>
      </c>
      <c r="B4" s="139" t="s">
        <v>8</v>
      </c>
      <c r="C4" s="139" t="s">
        <v>9</v>
      </c>
      <c r="D4" s="140">
        <v>45992</v>
      </c>
      <c r="E4" s="140"/>
      <c r="F4" s="10">
        <v>39590</v>
      </c>
      <c r="G4" s="136"/>
      <c r="H4" s="11"/>
    </row>
    <row r="5" spans="1:8" s="131" customFormat="1" ht="30.6" customHeight="1" x14ac:dyDescent="0.25">
      <c r="A5" s="138">
        <v>3</v>
      </c>
      <c r="B5" s="139" t="s">
        <v>10</v>
      </c>
      <c r="C5" s="141" t="s">
        <v>11</v>
      </c>
      <c r="D5" s="140">
        <v>45992</v>
      </c>
      <c r="E5" s="140"/>
      <c r="F5" s="10">
        <f>40624.8</f>
        <v>40624.800000000003</v>
      </c>
      <c r="G5" s="136"/>
      <c r="H5" s="11"/>
    </row>
    <row r="6" spans="1:8" s="131" customFormat="1" ht="30.6" customHeight="1" x14ac:dyDescent="0.25">
      <c r="A6" s="138">
        <v>4</v>
      </c>
      <c r="B6" s="139" t="s">
        <v>189</v>
      </c>
      <c r="C6" s="141" t="s">
        <v>190</v>
      </c>
      <c r="D6" s="140">
        <v>45992</v>
      </c>
      <c r="E6" s="140"/>
      <c r="F6" s="10">
        <f>24000+3600</f>
        <v>27600</v>
      </c>
      <c r="G6" s="136"/>
      <c r="H6" s="11"/>
    </row>
    <row r="7" spans="1:8" s="131" customFormat="1" ht="30.6" customHeight="1" x14ac:dyDescent="0.25">
      <c r="A7" s="138">
        <v>5</v>
      </c>
      <c r="B7" s="139" t="s">
        <v>191</v>
      </c>
      <c r="C7" s="139"/>
      <c r="D7" s="140">
        <v>45992</v>
      </c>
      <c r="E7" s="140"/>
      <c r="F7" s="10">
        <v>300</v>
      </c>
      <c r="G7" s="136"/>
      <c r="H7" s="137"/>
    </row>
    <row r="8" spans="1:8" s="131" customFormat="1" ht="30.6" customHeight="1" x14ac:dyDescent="0.25">
      <c r="A8" s="138">
        <v>6</v>
      </c>
      <c r="B8" s="139" t="s">
        <v>12</v>
      </c>
      <c r="C8" s="139"/>
      <c r="D8" s="140">
        <v>45992</v>
      </c>
      <c r="E8" s="140"/>
      <c r="F8" s="10"/>
      <c r="G8" s="136"/>
      <c r="H8" s="137"/>
    </row>
    <row r="9" spans="1:8" s="131" customFormat="1" ht="30.6" customHeight="1" x14ac:dyDescent="0.25">
      <c r="A9" s="138">
        <v>7</v>
      </c>
      <c r="B9" s="139" t="s">
        <v>13</v>
      </c>
      <c r="C9" s="139" t="s">
        <v>14</v>
      </c>
      <c r="D9" s="140">
        <v>45992</v>
      </c>
      <c r="E9" s="140"/>
      <c r="F9" s="13">
        <v>1518</v>
      </c>
      <c r="G9" s="136"/>
      <c r="H9" s="137"/>
    </row>
    <row r="10" spans="1:8" s="131" customFormat="1" ht="30.6" customHeight="1" x14ac:dyDescent="0.25">
      <c r="A10" s="138">
        <v>8</v>
      </c>
      <c r="B10" s="139" t="s">
        <v>15</v>
      </c>
      <c r="C10" s="139" t="s">
        <v>16</v>
      </c>
      <c r="D10" s="140">
        <v>45992</v>
      </c>
      <c r="E10" s="140"/>
      <c r="F10" s="13">
        <v>2500</v>
      </c>
      <c r="G10" s="136"/>
      <c r="H10" s="137"/>
    </row>
    <row r="11" spans="1:8" s="131" customFormat="1" ht="34.5" customHeight="1" x14ac:dyDescent="0.25">
      <c r="A11" s="138">
        <v>9</v>
      </c>
      <c r="B11" s="142" t="s">
        <v>17</v>
      </c>
      <c r="C11" s="141" t="s">
        <v>18</v>
      </c>
      <c r="D11" s="140">
        <v>45992</v>
      </c>
      <c r="E11" s="140"/>
      <c r="F11" s="13">
        <v>1274</v>
      </c>
      <c r="G11" s="136"/>
      <c r="H11" s="137"/>
    </row>
    <row r="12" spans="1:8" s="131" customFormat="1" ht="30.6" customHeight="1" x14ac:dyDescent="0.25">
      <c r="A12" s="138">
        <v>10</v>
      </c>
      <c r="B12" s="142" t="s">
        <v>19</v>
      </c>
      <c r="C12" s="142" t="s">
        <v>20</v>
      </c>
      <c r="D12" s="140">
        <v>45992</v>
      </c>
      <c r="E12" s="140"/>
      <c r="F12" s="13">
        <v>160.66999999999999</v>
      </c>
      <c r="G12" s="136"/>
      <c r="H12" s="137"/>
    </row>
    <row r="13" spans="1:8" s="131" customFormat="1" ht="30.6" customHeight="1" x14ac:dyDescent="0.25">
      <c r="A13" s="138">
        <v>11</v>
      </c>
      <c r="B13" s="142" t="s">
        <v>149</v>
      </c>
      <c r="C13" s="142" t="s">
        <v>150</v>
      </c>
      <c r="D13" s="140">
        <v>45992</v>
      </c>
      <c r="E13" s="140"/>
      <c r="F13" s="13">
        <v>149.9</v>
      </c>
      <c r="G13" s="136"/>
      <c r="H13" s="137"/>
    </row>
    <row r="14" spans="1:8" s="131" customFormat="1" ht="30.6" customHeight="1" x14ac:dyDescent="0.25">
      <c r="A14" s="138">
        <v>12</v>
      </c>
      <c r="B14" s="142" t="s">
        <v>21</v>
      </c>
      <c r="C14" s="141" t="s">
        <v>22</v>
      </c>
      <c r="D14" s="140">
        <v>45992</v>
      </c>
      <c r="E14" s="140"/>
      <c r="F14" s="13">
        <v>616</v>
      </c>
      <c r="G14" s="136"/>
      <c r="H14" s="143"/>
    </row>
    <row r="15" spans="1:8" s="131" customFormat="1" ht="30.6" customHeight="1" x14ac:dyDescent="0.25">
      <c r="A15" s="138">
        <v>13</v>
      </c>
      <c r="B15" s="142" t="s">
        <v>23</v>
      </c>
      <c r="C15" s="139"/>
      <c r="D15" s="140">
        <v>45992</v>
      </c>
      <c r="E15" s="140"/>
      <c r="F15" s="13">
        <v>40</v>
      </c>
      <c r="G15" s="136"/>
      <c r="H15" s="137"/>
    </row>
    <row r="16" spans="1:8" s="131" customFormat="1" ht="31.5" customHeight="1" x14ac:dyDescent="0.25">
      <c r="A16" s="138">
        <v>14</v>
      </c>
      <c r="B16" s="142" t="s">
        <v>24</v>
      </c>
      <c r="C16" s="141" t="s">
        <v>25</v>
      </c>
      <c r="D16" s="140">
        <v>45992</v>
      </c>
      <c r="E16" s="140"/>
      <c r="F16" s="13">
        <v>435.2</v>
      </c>
      <c r="G16" s="136"/>
      <c r="H16" s="137"/>
    </row>
    <row r="17" spans="1:8" s="131" customFormat="1" ht="31.5" customHeight="1" x14ac:dyDescent="0.25">
      <c r="A17" s="138">
        <v>15</v>
      </c>
      <c r="B17" s="142" t="s">
        <v>224</v>
      </c>
      <c r="C17" s="141" t="s">
        <v>225</v>
      </c>
      <c r="D17" s="140">
        <v>45992</v>
      </c>
      <c r="E17" s="140"/>
      <c r="F17" s="13">
        <v>160</v>
      </c>
      <c r="G17" s="136"/>
      <c r="H17" s="137"/>
    </row>
    <row r="18" spans="1:8" s="131" customFormat="1" ht="31.5" customHeight="1" x14ac:dyDescent="0.25">
      <c r="A18" s="138">
        <v>16</v>
      </c>
      <c r="B18" s="142" t="s">
        <v>226</v>
      </c>
      <c r="C18" s="141"/>
      <c r="D18" s="140">
        <v>45992</v>
      </c>
      <c r="E18" s="140"/>
      <c r="F18" s="13">
        <v>132</v>
      </c>
      <c r="G18" s="136"/>
      <c r="H18" s="137"/>
    </row>
    <row r="19" spans="1:8" s="131" customFormat="1" ht="31.5" customHeight="1" x14ac:dyDescent="0.25">
      <c r="A19" s="138">
        <v>17</v>
      </c>
      <c r="B19" s="142" t="s">
        <v>227</v>
      </c>
      <c r="C19" s="141" t="s">
        <v>228</v>
      </c>
      <c r="D19" s="140">
        <v>45992</v>
      </c>
      <c r="E19" s="140"/>
      <c r="F19" s="13">
        <v>47.5</v>
      </c>
      <c r="G19" s="136"/>
      <c r="H19" s="137"/>
    </row>
    <row r="20" spans="1:8" s="131" customFormat="1" ht="31.5" customHeight="1" x14ac:dyDescent="0.25">
      <c r="A20" s="138">
        <v>18</v>
      </c>
      <c r="B20" s="142" t="s">
        <v>229</v>
      </c>
      <c r="C20" s="141" t="s">
        <v>230</v>
      </c>
      <c r="D20" s="140">
        <v>45992</v>
      </c>
      <c r="E20" s="140"/>
      <c r="F20" s="13">
        <v>829.5</v>
      </c>
      <c r="G20" s="136"/>
      <c r="H20" s="137"/>
    </row>
    <row r="21" spans="1:8" s="131" customFormat="1" ht="31.5" customHeight="1" x14ac:dyDescent="0.25">
      <c r="A21" s="138">
        <v>19</v>
      </c>
      <c r="B21" s="142" t="s">
        <v>232</v>
      </c>
      <c r="C21" s="141" t="s">
        <v>231</v>
      </c>
      <c r="D21" s="140">
        <v>45992</v>
      </c>
      <c r="E21" s="140"/>
      <c r="F21" s="13">
        <v>575.24</v>
      </c>
      <c r="G21" s="136"/>
      <c r="H21" s="137"/>
    </row>
    <row r="22" spans="1:8" s="131" customFormat="1" ht="42" customHeight="1" x14ac:dyDescent="0.25">
      <c r="A22" s="144"/>
      <c r="B22" s="145" t="s">
        <v>31</v>
      </c>
      <c r="C22" s="146"/>
      <c r="D22" s="133"/>
      <c r="E22" s="147"/>
      <c r="F22" s="94">
        <f>SUM(F3:F21)</f>
        <v>127667.56</v>
      </c>
      <c r="G22" s="95"/>
      <c r="H22" s="137"/>
    </row>
    <row r="23" spans="1:8" s="131" customFormat="1" ht="21.75" customHeight="1" x14ac:dyDescent="0.25">
      <c r="A23" s="148" t="s">
        <v>32</v>
      </c>
      <c r="B23" s="148" t="s">
        <v>33</v>
      </c>
      <c r="C23" s="149" t="s">
        <v>34</v>
      </c>
      <c r="D23" s="148" t="s">
        <v>35</v>
      </c>
      <c r="E23" s="148" t="s">
        <v>36</v>
      </c>
      <c r="F23" s="148" t="s">
        <v>37</v>
      </c>
      <c r="G23" s="150" t="s">
        <v>38</v>
      </c>
      <c r="H23" s="149" t="s">
        <v>39</v>
      </c>
    </row>
    <row r="24" spans="1:8" s="151" customFormat="1" ht="15" customHeight="1" x14ac:dyDescent="0.25">
      <c r="A24" s="121" t="s">
        <v>40</v>
      </c>
      <c r="B24" s="122" t="s">
        <v>41</v>
      </c>
      <c r="C24" s="123" t="s">
        <v>42</v>
      </c>
      <c r="D24" s="124">
        <v>4016</v>
      </c>
      <c r="E24" s="24">
        <f>D24/$D$68</f>
        <v>1.2655614264944531E-2</v>
      </c>
      <c r="F24" s="25">
        <f>$F$22*E24</f>
        <v>1615.7113935066618</v>
      </c>
      <c r="G24" s="31">
        <f>F24*5%</f>
        <v>80.785569675333093</v>
      </c>
      <c r="H24" s="31">
        <f t="shared" ref="H24:H67" si="0">F24+G24</f>
        <v>1696.4969631819949</v>
      </c>
    </row>
    <row r="25" spans="1:8" s="125" customFormat="1" x14ac:dyDescent="0.25">
      <c r="A25" s="121" t="s">
        <v>43</v>
      </c>
      <c r="B25" s="152" t="s">
        <v>44</v>
      </c>
      <c r="C25" s="123">
        <v>18778225000139</v>
      </c>
      <c r="D25" s="124">
        <v>8711.2199999999993</v>
      </c>
      <c r="E25" s="24">
        <f t="shared" ref="E25:E67" si="1">D25/$D$68</f>
        <v>2.745165341062502E-2</v>
      </c>
      <c r="F25" s="25">
        <f t="shared" ref="F25:F67" si="2">$F$22*E25</f>
        <v>3504.6856089001744</v>
      </c>
      <c r="G25" s="31">
        <f t="shared" ref="G25:G67" si="3">F25*5%</f>
        <v>175.23428044500872</v>
      </c>
      <c r="H25" s="31">
        <f t="shared" si="0"/>
        <v>3679.919889345183</v>
      </c>
    </row>
    <row r="26" spans="1:8" s="125" customFormat="1" x14ac:dyDescent="0.25">
      <c r="A26" s="121" t="s">
        <v>45</v>
      </c>
      <c r="B26" s="152" t="s">
        <v>46</v>
      </c>
      <c r="C26" s="123">
        <v>41993875000119</v>
      </c>
      <c r="D26" s="124">
        <v>3641.8</v>
      </c>
      <c r="E26" s="24">
        <f t="shared" si="1"/>
        <v>1.1476398413863295E-2</v>
      </c>
      <c r="F26" s="25">
        <f t="shared" si="2"/>
        <v>1465.1637830857969</v>
      </c>
      <c r="G26" s="31">
        <f t="shared" si="3"/>
        <v>73.258189154289852</v>
      </c>
      <c r="H26" s="31">
        <f t="shared" si="0"/>
        <v>1538.4219722400867</v>
      </c>
    </row>
    <row r="27" spans="1:8" s="125" customFormat="1" x14ac:dyDescent="0.25">
      <c r="A27" s="121" t="s">
        <v>47</v>
      </c>
      <c r="B27" s="122" t="s">
        <v>48</v>
      </c>
      <c r="C27" s="123">
        <v>24781302000102</v>
      </c>
      <c r="D27" s="124">
        <v>3430</v>
      </c>
      <c r="E27" s="24">
        <f t="shared" si="1"/>
        <v>1.0808953418515871E-2</v>
      </c>
      <c r="F27" s="25">
        <f t="shared" si="2"/>
        <v>1379.9527090955801</v>
      </c>
      <c r="G27" s="31">
        <f t="shared" si="3"/>
        <v>68.997635454779001</v>
      </c>
      <c r="H27" s="31">
        <f t="shared" si="0"/>
        <v>1448.950344550359</v>
      </c>
    </row>
    <row r="28" spans="1:8" s="125" customFormat="1" x14ac:dyDescent="0.25">
      <c r="A28" s="121" t="s">
        <v>161</v>
      </c>
      <c r="B28" s="122" t="s">
        <v>162</v>
      </c>
      <c r="C28" s="123" t="s">
        <v>163</v>
      </c>
      <c r="D28" s="124">
        <v>9403</v>
      </c>
      <c r="E28" s="24">
        <f t="shared" si="1"/>
        <v>2.9631658598922663E-2</v>
      </c>
      <c r="F28" s="25">
        <f t="shared" si="2"/>
        <v>3783.001552077475</v>
      </c>
      <c r="G28" s="31">
        <f t="shared" si="3"/>
        <v>189.15007760387377</v>
      </c>
      <c r="H28" s="31">
        <f t="shared" si="0"/>
        <v>3972.1516296813488</v>
      </c>
    </row>
    <row r="29" spans="1:8" s="125" customFormat="1" x14ac:dyDescent="0.25">
      <c r="A29" s="121" t="s">
        <v>49</v>
      </c>
      <c r="B29" s="122" t="s">
        <v>50</v>
      </c>
      <c r="C29" s="123">
        <v>38649716000197</v>
      </c>
      <c r="D29" s="124">
        <v>3440</v>
      </c>
      <c r="E29" s="24">
        <f t="shared" si="1"/>
        <v>1.0840466402243322E-2</v>
      </c>
      <c r="F29" s="25">
        <f t="shared" si="2"/>
        <v>1383.9758948363833</v>
      </c>
      <c r="G29" s="31">
        <f t="shared" si="3"/>
        <v>69.198794741819171</v>
      </c>
      <c r="H29" s="31">
        <f t="shared" si="0"/>
        <v>1453.1746895782026</v>
      </c>
    </row>
    <row r="30" spans="1:8" s="125" customFormat="1" x14ac:dyDescent="0.25">
      <c r="A30" s="121" t="s">
        <v>51</v>
      </c>
      <c r="B30" s="122" t="s">
        <v>52</v>
      </c>
      <c r="C30" s="123" t="s">
        <v>53</v>
      </c>
      <c r="D30" s="124">
        <v>4056</v>
      </c>
      <c r="E30" s="24">
        <f t="shared" si="1"/>
        <v>1.2781666199854337E-2</v>
      </c>
      <c r="F30" s="25">
        <f t="shared" si="2"/>
        <v>1631.8041364698754</v>
      </c>
      <c r="G30" s="31">
        <f t="shared" si="3"/>
        <v>81.590206823493773</v>
      </c>
      <c r="H30" s="31">
        <f t="shared" si="0"/>
        <v>1713.3943432933693</v>
      </c>
    </row>
    <row r="31" spans="1:8" s="125" customFormat="1" x14ac:dyDescent="0.25">
      <c r="A31" s="121" t="s">
        <v>54</v>
      </c>
      <c r="B31" s="122" t="s">
        <v>55</v>
      </c>
      <c r="C31" s="123" t="s">
        <v>56</v>
      </c>
      <c r="D31" s="124">
        <v>11580</v>
      </c>
      <c r="E31" s="24">
        <f t="shared" si="1"/>
        <v>3.6492035156388859E-2</v>
      </c>
      <c r="F31" s="25">
        <f t="shared" si="2"/>
        <v>4658.8490878503844</v>
      </c>
      <c r="G31" s="31">
        <f t="shared" si="3"/>
        <v>232.94245439251924</v>
      </c>
      <c r="H31" s="31">
        <f t="shared" si="0"/>
        <v>4891.7915422429032</v>
      </c>
    </row>
    <row r="32" spans="1:8" s="125" customFormat="1" x14ac:dyDescent="0.25">
      <c r="A32" s="121" t="s">
        <v>57</v>
      </c>
      <c r="B32" s="122" t="s">
        <v>58</v>
      </c>
      <c r="C32" s="123" t="s">
        <v>178</v>
      </c>
      <c r="D32" s="124">
        <f>360+360+1510</f>
        <v>2230</v>
      </c>
      <c r="E32" s="24">
        <f t="shared" si="1"/>
        <v>7.0273953712216885E-3</v>
      </c>
      <c r="F32" s="25">
        <f t="shared" si="2"/>
        <v>897.17042019916721</v>
      </c>
      <c r="G32" s="31">
        <f t="shared" si="3"/>
        <v>44.858521009958366</v>
      </c>
      <c r="H32" s="31">
        <f t="shared" si="0"/>
        <v>942.02894120912561</v>
      </c>
    </row>
    <row r="33" spans="1:12" s="125" customFormat="1" ht="15" customHeight="1" x14ac:dyDescent="0.25">
      <c r="A33" s="121" t="s">
        <v>60</v>
      </c>
      <c r="B33" s="152" t="s">
        <v>61</v>
      </c>
      <c r="C33" s="123" t="s">
        <v>62</v>
      </c>
      <c r="D33" s="124">
        <f>5224+3930</f>
        <v>9154</v>
      </c>
      <c r="E33" s="24">
        <f t="shared" si="1"/>
        <v>2.8846985304109122E-2</v>
      </c>
      <c r="F33" s="25">
        <f t="shared" si="2"/>
        <v>3682.8242271314693</v>
      </c>
      <c r="G33" s="31">
        <f t="shared" si="3"/>
        <v>184.14121135657348</v>
      </c>
      <c r="H33" s="31">
        <f t="shared" si="0"/>
        <v>3866.9654384880428</v>
      </c>
      <c r="I33" s="153" t="s">
        <v>63</v>
      </c>
      <c r="J33" s="125" t="s">
        <v>64</v>
      </c>
    </row>
    <row r="34" spans="1:12" s="125" customFormat="1" ht="15.75" customHeight="1" x14ac:dyDescent="0.25">
      <c r="A34" s="121" t="s">
        <v>65</v>
      </c>
      <c r="B34" s="152" t="s">
        <v>66</v>
      </c>
      <c r="C34" s="123" t="s">
        <v>67</v>
      </c>
      <c r="D34" s="124">
        <v>2610</v>
      </c>
      <c r="E34" s="24">
        <f t="shared" si="1"/>
        <v>8.2248887528648465E-3</v>
      </c>
      <c r="F34" s="25">
        <f t="shared" si="2"/>
        <v>1050.0514783496978</v>
      </c>
      <c r="G34" s="31">
        <f t="shared" si="3"/>
        <v>52.502573917484895</v>
      </c>
      <c r="H34" s="31">
        <f t="shared" si="0"/>
        <v>1102.5540522671827</v>
      </c>
    </row>
    <row r="35" spans="1:12" s="125" customFormat="1" ht="15.75" customHeight="1" x14ac:dyDescent="0.25">
      <c r="A35" s="121" t="s">
        <v>68</v>
      </c>
      <c r="B35" s="152" t="s">
        <v>69</v>
      </c>
      <c r="C35" s="123" t="s">
        <v>70</v>
      </c>
      <c r="D35" s="124">
        <v>5515</v>
      </c>
      <c r="E35" s="24">
        <f t="shared" si="1"/>
        <v>1.7379410525689514E-2</v>
      </c>
      <c r="F35" s="25">
        <f t="shared" si="2"/>
        <v>2218.7869360530976</v>
      </c>
      <c r="G35" s="31">
        <f t="shared" si="3"/>
        <v>110.93934680265488</v>
      </c>
      <c r="H35" s="31">
        <f t="shared" si="0"/>
        <v>2329.7262828557523</v>
      </c>
    </row>
    <row r="36" spans="1:12" s="125" customFormat="1" ht="15.75" customHeight="1" x14ac:dyDescent="0.25">
      <c r="A36" s="121" t="s">
        <v>71</v>
      </c>
      <c r="B36" s="122" t="s">
        <v>72</v>
      </c>
      <c r="C36" s="123">
        <v>17202383000183</v>
      </c>
      <c r="D36" s="124">
        <v>15332</v>
      </c>
      <c r="E36" s="24">
        <f t="shared" si="1"/>
        <v>4.8315706650928665E-2</v>
      </c>
      <c r="F36" s="25">
        <f t="shared" si="2"/>
        <v>6168.3483777998345</v>
      </c>
      <c r="G36" s="31">
        <f t="shared" si="3"/>
        <v>308.41741888999172</v>
      </c>
      <c r="H36" s="31">
        <f t="shared" si="0"/>
        <v>6476.7657966898259</v>
      </c>
    </row>
    <row r="37" spans="1:12" s="125" customFormat="1" ht="15.75" customHeight="1" x14ac:dyDescent="0.25">
      <c r="A37" s="121" t="s">
        <v>73</v>
      </c>
      <c r="B37" s="122" t="s">
        <v>74</v>
      </c>
      <c r="C37" s="123">
        <v>18183488000103</v>
      </c>
      <c r="D37" s="124">
        <v>7238</v>
      </c>
      <c r="E37" s="24">
        <f t="shared" si="1"/>
        <v>2.2809097621929408E-2</v>
      </c>
      <c r="F37" s="25">
        <f t="shared" si="2"/>
        <v>2911.98183919353</v>
      </c>
      <c r="G37" s="31">
        <f t="shared" si="3"/>
        <v>145.59909195967651</v>
      </c>
      <c r="H37" s="31">
        <f t="shared" si="0"/>
        <v>3057.5809311532066</v>
      </c>
    </row>
    <row r="38" spans="1:12" s="125" customFormat="1" x14ac:dyDescent="0.25">
      <c r="A38" s="121" t="s">
        <v>75</v>
      </c>
      <c r="B38" s="122" t="s">
        <v>76</v>
      </c>
      <c r="C38" s="123">
        <v>18244070000150</v>
      </c>
      <c r="D38" s="124">
        <v>5941</v>
      </c>
      <c r="E38" s="24">
        <f t="shared" si="1"/>
        <v>1.8721863632478946E-2</v>
      </c>
      <c r="F38" s="25">
        <f t="shared" si="2"/>
        <v>2390.1746486113238</v>
      </c>
      <c r="G38" s="31">
        <f t="shared" si="3"/>
        <v>119.5087324305662</v>
      </c>
      <c r="H38" s="31">
        <f t="shared" si="0"/>
        <v>2509.6833810418902</v>
      </c>
    </row>
    <row r="39" spans="1:12" s="125" customFormat="1" x14ac:dyDescent="0.25">
      <c r="A39" s="121" t="s">
        <v>77</v>
      </c>
      <c r="B39" s="122" t="s">
        <v>78</v>
      </c>
      <c r="C39" s="123">
        <v>18244039000110</v>
      </c>
      <c r="D39" s="124">
        <v>4460</v>
      </c>
      <c r="E39" s="24">
        <f t="shared" si="1"/>
        <v>1.4054790742443377E-2</v>
      </c>
      <c r="F39" s="25">
        <f t="shared" si="2"/>
        <v>1794.3408403983344</v>
      </c>
      <c r="G39" s="31">
        <f t="shared" si="3"/>
        <v>89.717042019916732</v>
      </c>
      <c r="H39" s="31">
        <f t="shared" si="0"/>
        <v>1884.0578824182512</v>
      </c>
    </row>
    <row r="40" spans="1:12" s="125" customFormat="1" x14ac:dyDescent="0.25">
      <c r="A40" s="121" t="s">
        <v>79</v>
      </c>
      <c r="B40" s="122" t="s">
        <v>153</v>
      </c>
      <c r="C40" s="123" t="s">
        <v>154</v>
      </c>
      <c r="D40" s="124">
        <v>4415</v>
      </c>
      <c r="E40" s="24">
        <f t="shared" si="1"/>
        <v>1.3912982315669845E-2</v>
      </c>
      <c r="F40" s="25">
        <f t="shared" si="2"/>
        <v>1776.2365045647189</v>
      </c>
      <c r="G40" s="31">
        <f t="shared" si="3"/>
        <v>88.811825228235946</v>
      </c>
      <c r="H40" s="31">
        <f t="shared" si="0"/>
        <v>1865.0483297929547</v>
      </c>
    </row>
    <row r="41" spans="1:12" s="125" customFormat="1" x14ac:dyDescent="0.25">
      <c r="A41" s="121" t="s">
        <v>233</v>
      </c>
      <c r="B41" s="122" t="s">
        <v>234</v>
      </c>
      <c r="C41" s="123" t="s">
        <v>235</v>
      </c>
      <c r="D41" s="124">
        <v>4760</v>
      </c>
      <c r="E41" s="24">
        <f t="shared" si="1"/>
        <v>1.5000180254266924E-2</v>
      </c>
      <c r="F41" s="25">
        <f t="shared" si="2"/>
        <v>1915.0364126224376</v>
      </c>
      <c r="G41" s="31">
        <f t="shared" ref="G41" si="4">F41*5%</f>
        <v>95.751820631121888</v>
      </c>
      <c r="H41" s="31">
        <f t="shared" ref="H41" si="5">F41+G41</f>
        <v>2010.7882332535596</v>
      </c>
    </row>
    <row r="42" spans="1:12" s="125" customFormat="1" x14ac:dyDescent="0.25">
      <c r="A42" s="121" t="s">
        <v>81</v>
      </c>
      <c r="B42" s="122" t="s">
        <v>82</v>
      </c>
      <c r="C42" s="123" t="s">
        <v>83</v>
      </c>
      <c r="D42" s="124">
        <v>8673</v>
      </c>
      <c r="E42" s="24">
        <f t="shared" si="1"/>
        <v>2.7331210786818702E-2</v>
      </c>
      <c r="F42" s="25">
        <f t="shared" si="2"/>
        <v>3489.3089929988237</v>
      </c>
      <c r="G42" s="31">
        <f t="shared" si="3"/>
        <v>174.46544964994121</v>
      </c>
      <c r="H42" s="31">
        <f t="shared" si="0"/>
        <v>3663.7744426487648</v>
      </c>
    </row>
    <row r="43" spans="1:12" s="125" customFormat="1" x14ac:dyDescent="0.25">
      <c r="A43" s="121" t="s">
        <v>84</v>
      </c>
      <c r="B43" s="122" t="s">
        <v>155</v>
      </c>
      <c r="C43" s="123" t="s">
        <v>86</v>
      </c>
      <c r="D43" s="124">
        <v>9239</v>
      </c>
      <c r="E43" s="24">
        <f t="shared" si="1"/>
        <v>2.911484566579246E-2</v>
      </c>
      <c r="F43" s="25">
        <f t="shared" si="2"/>
        <v>3717.0213059282987</v>
      </c>
      <c r="G43" s="31">
        <f t="shared" si="3"/>
        <v>185.85106529641496</v>
      </c>
      <c r="H43" s="31">
        <f t="shared" si="0"/>
        <v>3902.8723712247138</v>
      </c>
    </row>
    <row r="44" spans="1:12" s="125" customFormat="1" x14ac:dyDescent="0.25">
      <c r="A44" s="121" t="s">
        <v>87</v>
      </c>
      <c r="B44" s="122" t="s">
        <v>88</v>
      </c>
      <c r="C44" s="123" t="s">
        <v>89</v>
      </c>
      <c r="D44" s="124">
        <v>4892</v>
      </c>
      <c r="E44" s="24">
        <f t="shared" si="1"/>
        <v>1.5416151639469283E-2</v>
      </c>
      <c r="F44" s="25">
        <f t="shared" si="2"/>
        <v>1968.1424644010431</v>
      </c>
      <c r="G44" s="31">
        <f t="shared" si="3"/>
        <v>98.407123220052156</v>
      </c>
      <c r="H44" s="31">
        <f t="shared" si="0"/>
        <v>2066.5495876210953</v>
      </c>
    </row>
    <row r="45" spans="1:12" s="125" customFormat="1" x14ac:dyDescent="0.25">
      <c r="A45" s="121" t="s">
        <v>90</v>
      </c>
      <c r="B45" s="122" t="s">
        <v>91</v>
      </c>
      <c r="C45" s="123">
        <v>41497649000147</v>
      </c>
      <c r="D45" s="124">
        <v>2526</v>
      </c>
      <c r="E45" s="24">
        <f t="shared" si="1"/>
        <v>7.9601796895542535E-3</v>
      </c>
      <c r="F45" s="25">
        <f t="shared" si="2"/>
        <v>1016.2567181269491</v>
      </c>
      <c r="G45" s="31">
        <f t="shared" si="3"/>
        <v>50.812835906347459</v>
      </c>
      <c r="H45" s="31">
        <f t="shared" si="0"/>
        <v>1067.0695540332965</v>
      </c>
    </row>
    <row r="46" spans="1:12" s="125" customFormat="1" x14ac:dyDescent="0.25">
      <c r="A46" s="121" t="s">
        <v>92</v>
      </c>
      <c r="B46" s="122" t="s">
        <v>93</v>
      </c>
      <c r="C46" s="123">
        <v>40580071000125</v>
      </c>
      <c r="D46" s="124">
        <v>3600</v>
      </c>
      <c r="E46" s="24">
        <f t="shared" si="1"/>
        <v>1.1344674141882546E-2</v>
      </c>
      <c r="F46" s="25">
        <f t="shared" si="2"/>
        <v>1448.3468666892384</v>
      </c>
      <c r="G46" s="31">
        <f t="shared" si="3"/>
        <v>72.417343334461918</v>
      </c>
      <c r="H46" s="31">
        <f t="shared" si="0"/>
        <v>1520.7642100237003</v>
      </c>
      <c r="I46" s="153" t="s">
        <v>63</v>
      </c>
      <c r="J46" s="125" t="s">
        <v>94</v>
      </c>
      <c r="L46" s="154"/>
    </row>
    <row r="47" spans="1:12" s="125" customFormat="1" x14ac:dyDescent="0.25">
      <c r="A47" s="121" t="s">
        <v>95</v>
      </c>
      <c r="B47" s="122" t="s">
        <v>96</v>
      </c>
      <c r="C47" s="123" t="s">
        <v>97</v>
      </c>
      <c r="D47" s="124">
        <v>3938</v>
      </c>
      <c r="E47" s="24">
        <f t="shared" si="1"/>
        <v>1.2409812991870408E-2</v>
      </c>
      <c r="F47" s="25">
        <f t="shared" si="2"/>
        <v>1584.3305447283949</v>
      </c>
      <c r="G47" s="31">
        <f t="shared" si="3"/>
        <v>79.216527236419751</v>
      </c>
      <c r="H47" s="31">
        <f t="shared" si="0"/>
        <v>1663.5470719648147</v>
      </c>
    </row>
    <row r="48" spans="1:12" s="125" customFormat="1" x14ac:dyDescent="0.25">
      <c r="A48" s="121" t="s">
        <v>98</v>
      </c>
      <c r="B48" s="122" t="s">
        <v>167</v>
      </c>
      <c r="C48" s="123" t="s">
        <v>168</v>
      </c>
      <c r="D48" s="124">
        <v>3707</v>
      </c>
      <c r="E48" s="24">
        <f t="shared" si="1"/>
        <v>1.1681863067766278E-2</v>
      </c>
      <c r="F48" s="25">
        <f t="shared" si="2"/>
        <v>1491.3949541158354</v>
      </c>
      <c r="G48" s="31">
        <f t="shared" si="3"/>
        <v>74.569747705791769</v>
      </c>
      <c r="H48" s="31">
        <f t="shared" si="0"/>
        <v>1565.9647018216272</v>
      </c>
    </row>
    <row r="49" spans="1:10" s="125" customFormat="1" x14ac:dyDescent="0.25">
      <c r="A49" s="121" t="s">
        <v>100</v>
      </c>
      <c r="B49" s="122" t="s">
        <v>101</v>
      </c>
      <c r="C49" s="123">
        <v>42109766000159</v>
      </c>
      <c r="D49" s="124">
        <v>5117</v>
      </c>
      <c r="E49" s="24">
        <f t="shared" si="1"/>
        <v>1.6125193773336943E-2</v>
      </c>
      <c r="F49" s="25">
        <f t="shared" si="2"/>
        <v>2058.6641435691204</v>
      </c>
      <c r="G49" s="31">
        <f t="shared" si="3"/>
        <v>102.93320717845603</v>
      </c>
      <c r="H49" s="31">
        <f t="shared" si="0"/>
        <v>2161.5973507475765</v>
      </c>
    </row>
    <row r="50" spans="1:10" s="125" customFormat="1" x14ac:dyDescent="0.25">
      <c r="A50" s="121" t="s">
        <v>102</v>
      </c>
      <c r="B50" s="122" t="s">
        <v>99</v>
      </c>
      <c r="C50" s="123">
        <v>18788190000119</v>
      </c>
      <c r="D50" s="124">
        <v>14717</v>
      </c>
      <c r="E50" s="24">
        <f t="shared" si="1"/>
        <v>4.6377658151690399E-2</v>
      </c>
      <c r="F50" s="25">
        <f t="shared" si="2"/>
        <v>5920.9224547404228</v>
      </c>
      <c r="G50" s="31">
        <f t="shared" si="3"/>
        <v>296.04612273702116</v>
      </c>
      <c r="H50" s="31">
        <f t="shared" si="0"/>
        <v>6216.9685774774443</v>
      </c>
    </row>
    <row r="51" spans="1:10" s="125" customFormat="1" ht="13.5" customHeight="1" x14ac:dyDescent="0.25">
      <c r="A51" s="121" t="s">
        <v>103</v>
      </c>
      <c r="B51" s="122" t="s">
        <v>104</v>
      </c>
      <c r="C51" s="123">
        <v>32302613000170</v>
      </c>
      <c r="D51" s="124">
        <v>5439</v>
      </c>
      <c r="E51" s="24">
        <f t="shared" si="1"/>
        <v>1.7139911849360881E-2</v>
      </c>
      <c r="F51" s="25">
        <f t="shared" si="2"/>
        <v>2188.210724422991</v>
      </c>
      <c r="G51" s="31">
        <f t="shared" si="3"/>
        <v>109.41053622114956</v>
      </c>
      <c r="H51" s="31">
        <f t="shared" si="0"/>
        <v>2297.6212606441404</v>
      </c>
    </row>
    <row r="52" spans="1:10" s="125" customFormat="1" x14ac:dyDescent="0.25">
      <c r="A52" s="121" t="s">
        <v>105</v>
      </c>
      <c r="B52" s="122" t="s">
        <v>106</v>
      </c>
      <c r="C52" s="123">
        <v>28616552000148</v>
      </c>
      <c r="D52" s="124">
        <v>4123.71</v>
      </c>
      <c r="E52" s="24">
        <f t="shared" si="1"/>
        <v>1.299504061267291E-2</v>
      </c>
      <c r="F52" s="25">
        <f t="shared" si="2"/>
        <v>1659.0451271208556</v>
      </c>
      <c r="G52" s="31">
        <f t="shared" si="3"/>
        <v>82.952256356042781</v>
      </c>
      <c r="H52" s="31">
        <f t="shared" si="0"/>
        <v>1741.9973834768984</v>
      </c>
    </row>
    <row r="53" spans="1:10" s="125" customFormat="1" x14ac:dyDescent="0.25">
      <c r="A53" s="121" t="s">
        <v>107</v>
      </c>
      <c r="B53" s="122" t="s">
        <v>108</v>
      </c>
      <c r="C53" s="123">
        <v>42579914000107</v>
      </c>
      <c r="D53" s="124">
        <v>4986.3599999999997</v>
      </c>
      <c r="E53" s="24">
        <f t="shared" si="1"/>
        <v>1.5713508153921515E-2</v>
      </c>
      <c r="F53" s="25">
        <f t="shared" si="2"/>
        <v>2006.1052450512643</v>
      </c>
      <c r="G53" s="31">
        <f t="shared" si="3"/>
        <v>100.30526225256322</v>
      </c>
      <c r="H53" s="31">
        <f t="shared" si="0"/>
        <v>2106.4105073038277</v>
      </c>
    </row>
    <row r="54" spans="1:10" s="125" customFormat="1" x14ac:dyDescent="0.25">
      <c r="A54" s="121" t="s">
        <v>199</v>
      </c>
      <c r="B54" s="122" t="s">
        <v>200</v>
      </c>
      <c r="C54" s="123" t="s">
        <v>201</v>
      </c>
      <c r="D54" s="124">
        <v>3946</v>
      </c>
      <c r="E54" s="24">
        <f t="shared" si="1"/>
        <v>1.243502337885237E-2</v>
      </c>
      <c r="F54" s="25">
        <f t="shared" si="2"/>
        <v>1587.5490933210376</v>
      </c>
      <c r="G54" s="31">
        <f t="shared" si="3"/>
        <v>79.377454666051889</v>
      </c>
      <c r="H54" s="31">
        <f t="shared" si="0"/>
        <v>1666.9265479870894</v>
      </c>
      <c r="J54" s="155"/>
    </row>
    <row r="55" spans="1:10" s="125" customFormat="1" x14ac:dyDescent="0.25">
      <c r="A55" s="121" t="s">
        <v>202</v>
      </c>
      <c r="B55" s="122" t="s">
        <v>203</v>
      </c>
      <c r="C55" s="123" t="s">
        <v>204</v>
      </c>
      <c r="D55" s="124">
        <v>3516</v>
      </c>
      <c r="E55" s="24">
        <f t="shared" si="1"/>
        <v>1.1079965078571953E-2</v>
      </c>
      <c r="F55" s="25">
        <f t="shared" si="2"/>
        <v>1414.5521064664895</v>
      </c>
      <c r="G55" s="31">
        <f t="shared" si="3"/>
        <v>70.727605323324482</v>
      </c>
      <c r="H55" s="31">
        <f t="shared" si="0"/>
        <v>1485.279711789814</v>
      </c>
      <c r="J55" s="155"/>
    </row>
    <row r="56" spans="1:10" s="125" customFormat="1" x14ac:dyDescent="0.25">
      <c r="A56" s="121" t="s">
        <v>112</v>
      </c>
      <c r="B56" s="122" t="s">
        <v>205</v>
      </c>
      <c r="C56" s="123" t="s">
        <v>206</v>
      </c>
      <c r="D56" s="124">
        <v>5525</v>
      </c>
      <c r="E56" s="24">
        <f t="shared" si="1"/>
        <v>1.7410923509416965E-2</v>
      </c>
      <c r="F56" s="25">
        <f t="shared" si="2"/>
        <v>2222.8101217939011</v>
      </c>
      <c r="G56" s="31">
        <f t="shared" si="3"/>
        <v>111.14050608969507</v>
      </c>
      <c r="H56" s="31">
        <f t="shared" si="0"/>
        <v>2333.9506278835961</v>
      </c>
    </row>
    <row r="57" spans="1:10" s="125" customFormat="1" x14ac:dyDescent="0.25">
      <c r="A57" s="121" t="s">
        <v>179</v>
      </c>
      <c r="B57" s="122" t="s">
        <v>211</v>
      </c>
      <c r="C57" s="123" t="s">
        <v>212</v>
      </c>
      <c r="D57" s="124">
        <v>11302</v>
      </c>
      <c r="E57" s="24">
        <f t="shared" si="1"/>
        <v>3.5615974208765708E-2</v>
      </c>
      <c r="F57" s="25">
        <f t="shared" si="2"/>
        <v>4547.0045242560482</v>
      </c>
      <c r="G57" s="31">
        <f t="shared" si="3"/>
        <v>227.35022621280243</v>
      </c>
      <c r="H57" s="31">
        <f t="shared" si="0"/>
        <v>4774.3547504688504</v>
      </c>
    </row>
    <row r="58" spans="1:10" s="125" customFormat="1" x14ac:dyDescent="0.25">
      <c r="A58" s="121" t="s">
        <v>117</v>
      </c>
      <c r="B58" s="122" t="s">
        <v>118</v>
      </c>
      <c r="C58" s="123" t="s">
        <v>119</v>
      </c>
      <c r="D58" s="124">
        <v>4943</v>
      </c>
      <c r="E58" s="24">
        <f t="shared" si="1"/>
        <v>1.5576867856479286E-2</v>
      </c>
      <c r="F58" s="25">
        <f t="shared" si="2"/>
        <v>1988.6607116791406</v>
      </c>
      <c r="G58" s="31">
        <f t="shared" si="3"/>
        <v>99.433035583957036</v>
      </c>
      <c r="H58" s="31">
        <f t="shared" si="0"/>
        <v>2088.0937472630976</v>
      </c>
    </row>
    <row r="59" spans="1:10" s="125" customFormat="1" x14ac:dyDescent="0.25">
      <c r="A59" s="121" t="s">
        <v>120</v>
      </c>
      <c r="B59" s="122" t="s">
        <v>121</v>
      </c>
      <c r="C59" s="123">
        <v>12997366000166</v>
      </c>
      <c r="D59" s="124">
        <v>5160</v>
      </c>
      <c r="E59" s="24">
        <f t="shared" si="1"/>
        <v>1.6260699603364983E-2</v>
      </c>
      <c r="F59" s="25">
        <f t="shared" si="2"/>
        <v>2075.963842254575</v>
      </c>
      <c r="G59" s="31">
        <f t="shared" si="3"/>
        <v>103.79819211272876</v>
      </c>
      <c r="H59" s="31">
        <f t="shared" si="0"/>
        <v>2179.7620343673038</v>
      </c>
    </row>
    <row r="60" spans="1:10" s="125" customFormat="1" ht="16.5" customHeight="1" x14ac:dyDescent="0.25">
      <c r="A60" s="121" t="s">
        <v>122</v>
      </c>
      <c r="B60" s="122" t="s">
        <v>123</v>
      </c>
      <c r="C60" s="123" t="s">
        <v>124</v>
      </c>
      <c r="D60" s="124">
        <v>6586</v>
      </c>
      <c r="E60" s="24">
        <f t="shared" si="1"/>
        <v>2.0754451082899569E-2</v>
      </c>
      <c r="F60" s="25">
        <f t="shared" si="2"/>
        <v>2649.6701288931458</v>
      </c>
      <c r="G60" s="31">
        <f t="shared" si="3"/>
        <v>132.48350644465731</v>
      </c>
      <c r="H60" s="31">
        <f t="shared" si="0"/>
        <v>2782.1536353378033</v>
      </c>
    </row>
    <row r="61" spans="1:10" s="125" customFormat="1" x14ac:dyDescent="0.25">
      <c r="A61" s="121" t="s">
        <v>125</v>
      </c>
      <c r="B61" s="122" t="s">
        <v>126</v>
      </c>
      <c r="C61" s="123">
        <v>11884518000151</v>
      </c>
      <c r="D61" s="124">
        <v>5644</v>
      </c>
      <c r="E61" s="24">
        <f t="shared" si="1"/>
        <v>1.7785928015773639E-2</v>
      </c>
      <c r="F61" s="25">
        <f t="shared" si="2"/>
        <v>2270.6860321094618</v>
      </c>
      <c r="G61" s="31">
        <f t="shared" si="3"/>
        <v>113.5343016054731</v>
      </c>
      <c r="H61" s="31">
        <f t="shared" si="0"/>
        <v>2384.2203337149349</v>
      </c>
    </row>
    <row r="62" spans="1:10" s="125" customFormat="1" x14ac:dyDescent="0.25">
      <c r="A62" s="121" t="s">
        <v>129</v>
      </c>
      <c r="B62" s="122" t="s">
        <v>130</v>
      </c>
      <c r="C62" s="123" t="s">
        <v>131</v>
      </c>
      <c r="D62" s="124">
        <f>7425*40%</f>
        <v>2970</v>
      </c>
      <c r="E62" s="24">
        <f t="shared" si="1"/>
        <v>9.3593561670531015E-3</v>
      </c>
      <c r="F62" s="25">
        <f t="shared" si="2"/>
        <v>1194.8861650186218</v>
      </c>
      <c r="G62" s="31">
        <f t="shared" si="3"/>
        <v>59.744308250931091</v>
      </c>
      <c r="H62" s="31">
        <f t="shared" si="0"/>
        <v>1254.6304732695528</v>
      </c>
    </row>
    <row r="63" spans="1:10" s="125" customFormat="1" x14ac:dyDescent="0.25">
      <c r="A63" s="121" t="s">
        <v>132</v>
      </c>
      <c r="B63" s="122" t="s">
        <v>133</v>
      </c>
      <c r="C63" s="123">
        <v>18741082000190</v>
      </c>
      <c r="D63" s="124">
        <v>12183</v>
      </c>
      <c r="E63" s="24">
        <f t="shared" si="1"/>
        <v>3.8392268075154189E-2</v>
      </c>
      <c r="F63" s="25">
        <f t="shared" si="2"/>
        <v>4901.4471880208321</v>
      </c>
      <c r="G63" s="31">
        <f t="shared" si="3"/>
        <v>245.07235940104161</v>
      </c>
      <c r="H63" s="31">
        <f t="shared" si="0"/>
        <v>5146.5195474218735</v>
      </c>
    </row>
    <row r="64" spans="1:10" s="125" customFormat="1" x14ac:dyDescent="0.25">
      <c r="A64" s="121" t="s">
        <v>134</v>
      </c>
      <c r="B64" s="122" t="s">
        <v>207</v>
      </c>
      <c r="C64" s="123" t="s">
        <v>213</v>
      </c>
      <c r="D64" s="124">
        <v>4814</v>
      </c>
      <c r="E64" s="24">
        <f t="shared" si="1"/>
        <v>1.5170350366395162E-2</v>
      </c>
      <c r="F64" s="25">
        <f t="shared" si="2"/>
        <v>1936.7616156227762</v>
      </c>
      <c r="G64" s="31">
        <f t="shared" si="3"/>
        <v>96.838080781138814</v>
      </c>
      <c r="H64" s="31">
        <f t="shared" si="0"/>
        <v>2033.599696403915</v>
      </c>
    </row>
    <row r="65" spans="1:8" s="125" customFormat="1" x14ac:dyDescent="0.25">
      <c r="A65" s="121" t="s">
        <v>183</v>
      </c>
      <c r="B65" s="122" t="s">
        <v>184</v>
      </c>
      <c r="C65" s="123" t="s">
        <v>185</v>
      </c>
      <c r="D65" s="124">
        <f>6188.23+4126.33</f>
        <v>10314.56</v>
      </c>
      <c r="E65" s="24">
        <f t="shared" si="1"/>
        <v>3.2504256143582232E-2</v>
      </c>
      <c r="F65" s="25">
        <f t="shared" si="2"/>
        <v>4149.7390714661533</v>
      </c>
      <c r="G65" s="31">
        <f>F65*5%</f>
        <v>207.48695357330769</v>
      </c>
      <c r="H65" s="31">
        <f>F65+G65</f>
        <v>4357.2260250394611</v>
      </c>
    </row>
    <row r="66" spans="1:8" s="125" customFormat="1" x14ac:dyDescent="0.25">
      <c r="A66" s="121" t="s">
        <v>137</v>
      </c>
      <c r="B66" s="122" t="s">
        <v>138</v>
      </c>
      <c r="C66" s="123" t="s">
        <v>139</v>
      </c>
      <c r="D66" s="124">
        <v>3476.86</v>
      </c>
      <c r="E66" s="24">
        <f t="shared" si="1"/>
        <v>1.0956623260262709E-2</v>
      </c>
      <c r="F66" s="25">
        <f t="shared" si="2"/>
        <v>1398.8053574769851</v>
      </c>
      <c r="G66" s="31">
        <f t="shared" si="3"/>
        <v>69.940267873849265</v>
      </c>
      <c r="H66" s="31">
        <f t="shared" si="0"/>
        <v>1468.7456253508344</v>
      </c>
    </row>
    <row r="67" spans="1:8" s="125" customFormat="1" x14ac:dyDescent="0.25">
      <c r="A67" s="121" t="s">
        <v>140</v>
      </c>
      <c r="B67" s="152" t="s">
        <v>141</v>
      </c>
      <c r="C67" s="123">
        <v>11884518000151</v>
      </c>
      <c r="D67" s="124">
        <f>81377.44-14717-3314-9239-9403+9177.57+6936-4760</f>
        <v>56058.01</v>
      </c>
      <c r="E67" s="24">
        <f t="shared" si="1"/>
        <v>0.17665551569233146</v>
      </c>
      <c r="F67" s="25">
        <f t="shared" si="2"/>
        <v>22553.178648981666</v>
      </c>
      <c r="G67" s="31">
        <f t="shared" si="3"/>
        <v>1127.6589324490833</v>
      </c>
      <c r="H67" s="31">
        <f t="shared" si="0"/>
        <v>23680.837581430751</v>
      </c>
    </row>
    <row r="68" spans="1:8" s="131" customFormat="1" x14ac:dyDescent="0.25">
      <c r="A68" s="156"/>
      <c r="B68" s="157"/>
      <c r="C68" s="158" t="s">
        <v>142</v>
      </c>
      <c r="D68" s="159">
        <f>SUM(D24:D67)</f>
        <v>317329.51999999996</v>
      </c>
      <c r="E68" s="38">
        <f>SUM(E24:E67)</f>
        <v>1</v>
      </c>
      <c r="F68" s="98">
        <f>SUM(F24:F67)</f>
        <v>127667.56</v>
      </c>
      <c r="G68" s="98">
        <f>SUM(G24:G67)</f>
        <v>6383.3780000000006</v>
      </c>
      <c r="H68" s="99">
        <f>SUM(H24:H67)</f>
        <v>134050.93800000002</v>
      </c>
    </row>
    <row r="69" spans="1:8" s="131" customFormat="1" x14ac:dyDescent="0.25">
      <c r="D69" s="160"/>
      <c r="F69" s="161"/>
    </row>
    <row r="70" spans="1:8" s="131" customFormat="1" x14ac:dyDescent="0.25">
      <c r="F70" s="161"/>
    </row>
    <row r="71" spans="1:8" s="131" customFormat="1" x14ac:dyDescent="0.25">
      <c r="D71" s="160"/>
      <c r="E71" s="161"/>
      <c r="H71" s="162"/>
    </row>
    <row r="72" spans="1:8" s="131" customFormat="1" x14ac:dyDescent="0.25">
      <c r="E72" s="161"/>
    </row>
    <row r="73" spans="1:8" s="131" customFormat="1" x14ac:dyDescent="0.25"/>
    <row r="74" spans="1:8" s="131" customFormat="1" x14ac:dyDescent="0.25"/>
    <row r="75" spans="1:8" s="131" customFormat="1" x14ac:dyDescent="0.25"/>
    <row r="76" spans="1:8" s="131" customFormat="1" x14ac:dyDescent="0.25">
      <c r="C76" s="160"/>
    </row>
    <row r="77" spans="1:8" s="131" customFormat="1" x14ac:dyDescent="0.25"/>
    <row r="78" spans="1:8" s="131" customFormat="1" x14ac:dyDescent="0.25"/>
    <row r="79" spans="1:8" s="131" customFormat="1" x14ac:dyDescent="0.25"/>
    <row r="80" spans="1:8" s="131" customFormat="1" x14ac:dyDescent="0.25"/>
    <row r="81" s="131" customFormat="1" x14ac:dyDescent="0.25"/>
    <row r="82" s="131" customFormat="1" x14ac:dyDescent="0.25"/>
    <row r="83" s="131" customFormat="1" x14ac:dyDescent="0.25"/>
    <row r="84" s="131" customFormat="1" x14ac:dyDescent="0.25"/>
    <row r="85" s="131" customFormat="1" x14ac:dyDescent="0.25"/>
    <row r="86" s="131" customFormat="1" x14ac:dyDescent="0.25"/>
    <row r="87" s="131" customFormat="1" x14ac:dyDescent="0.25"/>
    <row r="88" s="131" customFormat="1" x14ac:dyDescent="0.25"/>
    <row r="89" s="131" customFormat="1" x14ac:dyDescent="0.25"/>
    <row r="90" s="131" customFormat="1" x14ac:dyDescent="0.25"/>
    <row r="91" s="131" customFormat="1" x14ac:dyDescent="0.25"/>
    <row r="92" s="131" customFormat="1" x14ac:dyDescent="0.25"/>
    <row r="93" s="131" customFormat="1" x14ac:dyDescent="0.25"/>
    <row r="94" s="131" customFormat="1" x14ac:dyDescent="0.25"/>
    <row r="95" s="131" customFormat="1" x14ac:dyDescent="0.25"/>
    <row r="96" s="131" customFormat="1" x14ac:dyDescent="0.25"/>
    <row r="97" s="131" customFormat="1" x14ac:dyDescent="0.25"/>
    <row r="98" s="131" customFormat="1" x14ac:dyDescent="0.25"/>
    <row r="99" s="131" customFormat="1" x14ac:dyDescent="0.25"/>
    <row r="100" s="131" customFormat="1" x14ac:dyDescent="0.25"/>
    <row r="101" s="131" customFormat="1" x14ac:dyDescent="0.25"/>
    <row r="102" s="131" customFormat="1" x14ac:dyDescent="0.25"/>
    <row r="103" s="131" customFormat="1" x14ac:dyDescent="0.25"/>
    <row r="104" s="131" customFormat="1" x14ac:dyDescent="0.25"/>
    <row r="105" s="131" customFormat="1" x14ac:dyDescent="0.25"/>
    <row r="106" s="131" customFormat="1" x14ac:dyDescent="0.25"/>
    <row r="107" s="131" customFormat="1" x14ac:dyDescent="0.25"/>
    <row r="108" s="131" customFormat="1" x14ac:dyDescent="0.25"/>
    <row r="109" s="131" customFormat="1" x14ac:dyDescent="0.25"/>
    <row r="110" s="131" customFormat="1" x14ac:dyDescent="0.25"/>
    <row r="111" s="131" customFormat="1" x14ac:dyDescent="0.25"/>
    <row r="112" s="131" customFormat="1" x14ac:dyDescent="0.25"/>
    <row r="113" s="131" customFormat="1" x14ac:dyDescent="0.25"/>
    <row r="114" s="131" customFormat="1" x14ac:dyDescent="0.25"/>
    <row r="115" s="131" customFormat="1" x14ac:dyDescent="0.25"/>
    <row r="116" s="131" customFormat="1" x14ac:dyDescent="0.25"/>
    <row r="117" s="131" customFormat="1" x14ac:dyDescent="0.25"/>
    <row r="118" s="131" customFormat="1" x14ac:dyDescent="0.25"/>
    <row r="119" s="131" customFormat="1" x14ac:dyDescent="0.25"/>
    <row r="120" s="131" customFormat="1" x14ac:dyDescent="0.25"/>
    <row r="121" s="131" customFormat="1" x14ac:dyDescent="0.25"/>
    <row r="122" s="131" customFormat="1" x14ac:dyDescent="0.25"/>
    <row r="123" s="131" customFormat="1" x14ac:dyDescent="0.25"/>
    <row r="124" s="131" customFormat="1" x14ac:dyDescent="0.25"/>
    <row r="125" s="131" customFormat="1" x14ac:dyDescent="0.25"/>
    <row r="126" s="131" customFormat="1" x14ac:dyDescent="0.25"/>
    <row r="127" s="131" customFormat="1" x14ac:dyDescent="0.25"/>
    <row r="128" s="131" customFormat="1" x14ac:dyDescent="0.25"/>
    <row r="129" s="131" customFormat="1" x14ac:dyDescent="0.25"/>
    <row r="130" s="131" customFormat="1" x14ac:dyDescent="0.25"/>
    <row r="131" s="131" customFormat="1" x14ac:dyDescent="0.25"/>
    <row r="132" s="131" customFormat="1" x14ac:dyDescent="0.25"/>
    <row r="133" s="131" customFormat="1" x14ac:dyDescent="0.25"/>
    <row r="134" s="131" customFormat="1" x14ac:dyDescent="0.25"/>
    <row r="135" s="131" customFormat="1" x14ac:dyDescent="0.25"/>
    <row r="136" s="131" customFormat="1" x14ac:dyDescent="0.25"/>
    <row r="137" s="131" customFormat="1" x14ac:dyDescent="0.25"/>
    <row r="138" s="131" customFormat="1" x14ac:dyDescent="0.25"/>
    <row r="139" s="131" customFormat="1" x14ac:dyDescent="0.25"/>
    <row r="140" s="131" customFormat="1" x14ac:dyDescent="0.25"/>
    <row r="141" s="131" customFormat="1" x14ac:dyDescent="0.25"/>
    <row r="142" s="131" customFormat="1" x14ac:dyDescent="0.25"/>
    <row r="143" s="131" customFormat="1" x14ac:dyDescent="0.25"/>
    <row r="144" s="131" customFormat="1" x14ac:dyDescent="0.25"/>
    <row r="145" spans="1:8" s="131" customFormat="1" x14ac:dyDescent="0.25"/>
    <row r="146" spans="1:8" s="131" customFormat="1" x14ac:dyDescent="0.25"/>
    <row r="147" spans="1:8" s="131" customFormat="1" x14ac:dyDescent="0.25"/>
    <row r="148" spans="1:8" s="131" customFormat="1" x14ac:dyDescent="0.25"/>
    <row r="149" spans="1:8" s="131" customFormat="1" x14ac:dyDescent="0.25"/>
    <row r="150" spans="1:8" s="131" customFormat="1" x14ac:dyDescent="0.25"/>
    <row r="151" spans="1:8" s="131" customFormat="1" x14ac:dyDescent="0.25"/>
    <row r="152" spans="1:8" s="131" customFormat="1" x14ac:dyDescent="0.25">
      <c r="A152" s="163"/>
      <c r="B152" s="163"/>
      <c r="C152" s="163"/>
      <c r="D152" s="163"/>
      <c r="E152" s="163"/>
    </row>
    <row r="153" spans="1:8" s="163" customFormat="1" x14ac:dyDescent="0.25">
      <c r="F153" s="131"/>
      <c r="G153" s="131"/>
      <c r="H153" s="131"/>
    </row>
    <row r="154" spans="1:8" s="163" customFormat="1" x14ac:dyDescent="0.25">
      <c r="F154" s="131"/>
      <c r="G154" s="131"/>
      <c r="H154" s="131"/>
    </row>
    <row r="155" spans="1:8" s="163" customFormat="1" x14ac:dyDescent="0.25">
      <c r="F155" s="131"/>
      <c r="G155" s="131"/>
      <c r="H155" s="131"/>
    </row>
    <row r="156" spans="1:8" s="163" customFormat="1" x14ac:dyDescent="0.25">
      <c r="F156" s="131"/>
      <c r="G156" s="131"/>
      <c r="H156" s="131"/>
    </row>
    <row r="157" spans="1:8" s="163" customFormat="1" x14ac:dyDescent="0.25">
      <c r="F157" s="131"/>
      <c r="G157" s="131"/>
      <c r="H157" s="131"/>
    </row>
    <row r="158" spans="1:8" s="163" customFormat="1" x14ac:dyDescent="0.25">
      <c r="F158" s="131"/>
      <c r="G158" s="131"/>
      <c r="H158" s="131"/>
    </row>
    <row r="159" spans="1:8" s="163" customFormat="1" x14ac:dyDescent="0.25">
      <c r="F159" s="131"/>
      <c r="G159" s="131"/>
      <c r="H159" s="131"/>
    </row>
    <row r="160" spans="1:8" s="163" customFormat="1" x14ac:dyDescent="0.25">
      <c r="F160" s="131"/>
      <c r="G160" s="131"/>
      <c r="H160" s="131"/>
    </row>
    <row r="161" spans="6:8" s="163" customFormat="1" x14ac:dyDescent="0.25">
      <c r="F161" s="131"/>
      <c r="G161" s="131"/>
      <c r="H161" s="131"/>
    </row>
    <row r="162" spans="6:8" s="163" customFormat="1" x14ac:dyDescent="0.25">
      <c r="F162" s="131"/>
      <c r="G162" s="131"/>
      <c r="H162" s="131"/>
    </row>
    <row r="163" spans="6:8" s="163" customFormat="1" x14ac:dyDescent="0.25">
      <c r="F163" s="131"/>
      <c r="G163" s="131"/>
      <c r="H163" s="131"/>
    </row>
    <row r="164" spans="6:8" s="163" customFormat="1" x14ac:dyDescent="0.25">
      <c r="F164" s="131"/>
      <c r="G164" s="131"/>
      <c r="H164" s="131"/>
    </row>
    <row r="165" spans="6:8" s="163" customFormat="1" x14ac:dyDescent="0.25">
      <c r="F165" s="131"/>
      <c r="G165" s="131"/>
      <c r="H165" s="131"/>
    </row>
    <row r="166" spans="6:8" s="163" customFormat="1" x14ac:dyDescent="0.25">
      <c r="F166" s="131"/>
      <c r="G166" s="131"/>
      <c r="H166" s="131"/>
    </row>
    <row r="167" spans="6:8" s="163" customFormat="1" x14ac:dyDescent="0.25">
      <c r="F167" s="131"/>
      <c r="G167" s="131"/>
      <c r="H167" s="131"/>
    </row>
    <row r="168" spans="6:8" s="163" customFormat="1" x14ac:dyDescent="0.25">
      <c r="F168" s="131"/>
      <c r="G168" s="131"/>
      <c r="H168" s="131"/>
    </row>
    <row r="169" spans="6:8" s="163" customFormat="1" x14ac:dyDescent="0.25">
      <c r="F169" s="131"/>
      <c r="G169" s="131"/>
      <c r="H169" s="131"/>
    </row>
    <row r="170" spans="6:8" s="163" customFormat="1" x14ac:dyDescent="0.25">
      <c r="F170" s="131"/>
      <c r="G170" s="131"/>
      <c r="H170" s="131"/>
    </row>
    <row r="171" spans="6:8" s="163" customFormat="1" x14ac:dyDescent="0.25">
      <c r="F171" s="131"/>
      <c r="G171" s="131"/>
      <c r="H171" s="131"/>
    </row>
    <row r="172" spans="6:8" s="163" customFormat="1" x14ac:dyDescent="0.25">
      <c r="F172" s="131"/>
      <c r="G172" s="131"/>
      <c r="H172" s="131"/>
    </row>
    <row r="173" spans="6:8" s="163" customFormat="1" x14ac:dyDescent="0.25">
      <c r="F173" s="131"/>
      <c r="G173" s="131"/>
      <c r="H173" s="131"/>
    </row>
    <row r="174" spans="6:8" s="163" customFormat="1" x14ac:dyDescent="0.25">
      <c r="F174" s="131"/>
      <c r="G174" s="131"/>
      <c r="H174" s="131"/>
    </row>
    <row r="175" spans="6:8" s="163" customFormat="1" x14ac:dyDescent="0.25">
      <c r="F175" s="131"/>
      <c r="G175" s="131"/>
      <c r="H175" s="131"/>
    </row>
    <row r="176" spans="6:8" s="163" customFormat="1" x14ac:dyDescent="0.25">
      <c r="F176" s="131"/>
      <c r="G176" s="131"/>
      <c r="H176" s="131"/>
    </row>
    <row r="177" spans="6:8" s="163" customFormat="1" x14ac:dyDescent="0.25">
      <c r="F177" s="131"/>
      <c r="G177" s="131"/>
      <c r="H177" s="131"/>
    </row>
    <row r="178" spans="6:8" s="163" customFormat="1" x14ac:dyDescent="0.25">
      <c r="F178" s="131"/>
      <c r="G178" s="131"/>
      <c r="H178" s="131"/>
    </row>
    <row r="179" spans="6:8" s="163" customFormat="1" x14ac:dyDescent="0.25">
      <c r="F179" s="131"/>
      <c r="G179" s="131"/>
      <c r="H179" s="131"/>
    </row>
    <row r="180" spans="6:8" s="163" customFormat="1" x14ac:dyDescent="0.25">
      <c r="F180" s="131"/>
      <c r="G180" s="131"/>
      <c r="H180" s="131"/>
    </row>
    <row r="181" spans="6:8" s="163" customFormat="1" x14ac:dyDescent="0.25">
      <c r="F181" s="131"/>
      <c r="G181" s="131"/>
      <c r="H181" s="131"/>
    </row>
    <row r="182" spans="6:8" s="163" customFormat="1" x14ac:dyDescent="0.25">
      <c r="F182" s="131"/>
      <c r="G182" s="131"/>
      <c r="H182" s="131"/>
    </row>
    <row r="183" spans="6:8" s="163" customFormat="1" x14ac:dyDescent="0.25">
      <c r="F183" s="131"/>
      <c r="G183" s="131"/>
      <c r="H183" s="131"/>
    </row>
    <row r="184" spans="6:8" s="163" customFormat="1" x14ac:dyDescent="0.25">
      <c r="F184" s="131"/>
      <c r="G184" s="131"/>
      <c r="H184" s="131"/>
    </row>
    <row r="185" spans="6:8" s="163" customFormat="1" x14ac:dyDescent="0.25">
      <c r="F185" s="131"/>
      <c r="G185" s="131"/>
      <c r="H185" s="131"/>
    </row>
    <row r="186" spans="6:8" s="163" customFormat="1" x14ac:dyDescent="0.25">
      <c r="F186" s="131"/>
      <c r="G186" s="131"/>
      <c r="H186" s="131"/>
    </row>
    <row r="187" spans="6:8" s="163" customFormat="1" x14ac:dyDescent="0.25">
      <c r="F187" s="131"/>
      <c r="G187" s="131"/>
      <c r="H187" s="131"/>
    </row>
    <row r="188" spans="6:8" s="163" customFormat="1" x14ac:dyDescent="0.25">
      <c r="F188" s="131"/>
      <c r="G188" s="131"/>
      <c r="H188" s="131"/>
    </row>
    <row r="189" spans="6:8" s="163" customFormat="1" x14ac:dyDescent="0.25">
      <c r="F189" s="131"/>
      <c r="G189" s="131"/>
      <c r="H189" s="131"/>
    </row>
    <row r="190" spans="6:8" s="163" customFormat="1" x14ac:dyDescent="0.25">
      <c r="F190" s="131"/>
      <c r="G190" s="131"/>
      <c r="H190" s="131"/>
    </row>
    <row r="191" spans="6:8" s="163" customFormat="1" x14ac:dyDescent="0.25">
      <c r="F191" s="131"/>
      <c r="G191" s="131"/>
      <c r="H191" s="131"/>
    </row>
    <row r="192" spans="6:8" s="163" customFormat="1" x14ac:dyDescent="0.25">
      <c r="F192" s="131"/>
      <c r="G192" s="131"/>
      <c r="H192" s="131"/>
    </row>
    <row r="193" spans="6:8" s="163" customFormat="1" x14ac:dyDescent="0.25">
      <c r="F193" s="131"/>
      <c r="G193" s="131"/>
      <c r="H193" s="131"/>
    </row>
    <row r="194" spans="6:8" s="163" customFormat="1" x14ac:dyDescent="0.25">
      <c r="F194" s="131"/>
      <c r="G194" s="131"/>
      <c r="H194" s="131"/>
    </row>
    <row r="195" spans="6:8" s="163" customFormat="1" x14ac:dyDescent="0.25">
      <c r="F195" s="131"/>
      <c r="G195" s="131"/>
      <c r="H195" s="131"/>
    </row>
    <row r="196" spans="6:8" s="163" customFormat="1" x14ac:dyDescent="0.25">
      <c r="F196" s="131"/>
      <c r="G196" s="131"/>
      <c r="H196" s="131"/>
    </row>
    <row r="197" spans="6:8" s="163" customFormat="1" x14ac:dyDescent="0.25">
      <c r="F197" s="131"/>
      <c r="G197" s="131"/>
      <c r="H197" s="131"/>
    </row>
    <row r="198" spans="6:8" s="163" customFormat="1" x14ac:dyDescent="0.25">
      <c r="F198" s="131"/>
      <c r="G198" s="131"/>
      <c r="H198" s="131"/>
    </row>
    <row r="199" spans="6:8" s="163" customFormat="1" x14ac:dyDescent="0.25">
      <c r="F199" s="131"/>
      <c r="G199" s="131"/>
      <c r="H199" s="131"/>
    </row>
    <row r="200" spans="6:8" s="163" customFormat="1" x14ac:dyDescent="0.25">
      <c r="F200" s="131"/>
      <c r="G200" s="131"/>
      <c r="H200" s="131"/>
    </row>
    <row r="201" spans="6:8" s="163" customFormat="1" x14ac:dyDescent="0.25">
      <c r="F201" s="131"/>
      <c r="G201" s="131"/>
      <c r="H201" s="131"/>
    </row>
    <row r="202" spans="6:8" s="163" customFormat="1" x14ac:dyDescent="0.25">
      <c r="F202" s="131"/>
      <c r="G202" s="131"/>
      <c r="H202" s="131"/>
    </row>
    <row r="203" spans="6:8" s="163" customFormat="1" x14ac:dyDescent="0.25">
      <c r="F203" s="131"/>
      <c r="G203" s="131"/>
      <c r="H203" s="131"/>
    </row>
    <row r="204" spans="6:8" s="163" customFormat="1" x14ac:dyDescent="0.25">
      <c r="F204" s="131"/>
      <c r="G204" s="131"/>
      <c r="H204" s="131"/>
    </row>
    <row r="205" spans="6:8" s="163" customFormat="1" x14ac:dyDescent="0.25">
      <c r="F205" s="131"/>
      <c r="G205" s="131"/>
      <c r="H205" s="131"/>
    </row>
    <row r="206" spans="6:8" s="163" customFormat="1" x14ac:dyDescent="0.25">
      <c r="F206" s="131"/>
      <c r="G206" s="131"/>
      <c r="H206" s="131"/>
    </row>
    <row r="207" spans="6:8" s="163" customFormat="1" x14ac:dyDescent="0.25">
      <c r="F207" s="131"/>
      <c r="G207" s="131"/>
      <c r="H207" s="131"/>
    </row>
    <row r="208" spans="6:8" s="163" customFormat="1" x14ac:dyDescent="0.25">
      <c r="F208" s="131"/>
      <c r="G208" s="131"/>
      <c r="H208" s="131"/>
    </row>
    <row r="209" spans="6:8" s="163" customFormat="1" x14ac:dyDescent="0.25">
      <c r="F209" s="131"/>
      <c r="G209" s="131"/>
      <c r="H209" s="131"/>
    </row>
    <row r="210" spans="6:8" s="163" customFormat="1" x14ac:dyDescent="0.25">
      <c r="F210" s="131"/>
      <c r="G210" s="131"/>
      <c r="H210" s="131"/>
    </row>
    <row r="211" spans="6:8" s="163" customFormat="1" x14ac:dyDescent="0.25">
      <c r="F211" s="131"/>
      <c r="G211" s="131"/>
      <c r="H211" s="131"/>
    </row>
    <row r="212" spans="6:8" s="163" customFormat="1" x14ac:dyDescent="0.25">
      <c r="F212" s="131"/>
      <c r="G212" s="131"/>
      <c r="H212" s="131"/>
    </row>
    <row r="213" spans="6:8" s="163" customFormat="1" x14ac:dyDescent="0.25">
      <c r="F213" s="131"/>
      <c r="G213" s="131"/>
      <c r="H213" s="131"/>
    </row>
    <row r="214" spans="6:8" s="163" customFormat="1" x14ac:dyDescent="0.25">
      <c r="F214" s="131"/>
      <c r="G214" s="131"/>
      <c r="H214" s="131"/>
    </row>
    <row r="215" spans="6:8" s="163" customFormat="1" x14ac:dyDescent="0.25">
      <c r="F215" s="131"/>
      <c r="G215" s="131"/>
      <c r="H215" s="131"/>
    </row>
    <row r="216" spans="6:8" s="163" customFormat="1" x14ac:dyDescent="0.25">
      <c r="F216" s="131"/>
      <c r="G216" s="131"/>
      <c r="H216" s="131"/>
    </row>
    <row r="217" spans="6:8" s="163" customFormat="1" x14ac:dyDescent="0.25">
      <c r="F217" s="131"/>
      <c r="G217" s="131"/>
      <c r="H217" s="131"/>
    </row>
    <row r="218" spans="6:8" s="163" customFormat="1" x14ac:dyDescent="0.25">
      <c r="F218" s="131"/>
      <c r="G218" s="131"/>
      <c r="H218" s="131"/>
    </row>
    <row r="219" spans="6:8" s="163" customFormat="1" x14ac:dyDescent="0.25">
      <c r="F219" s="131"/>
      <c r="G219" s="131"/>
      <c r="H219" s="131"/>
    </row>
    <row r="220" spans="6:8" s="163" customFormat="1" x14ac:dyDescent="0.25">
      <c r="F220" s="131"/>
      <c r="G220" s="131"/>
      <c r="H220" s="131"/>
    </row>
    <row r="221" spans="6:8" s="163" customFormat="1" x14ac:dyDescent="0.25">
      <c r="F221" s="131"/>
      <c r="G221" s="131"/>
      <c r="H221" s="131"/>
    </row>
    <row r="222" spans="6:8" s="163" customFormat="1" x14ac:dyDescent="0.25">
      <c r="F222" s="131"/>
      <c r="G222" s="131"/>
      <c r="H222" s="131"/>
    </row>
    <row r="223" spans="6:8" s="163" customFormat="1" x14ac:dyDescent="0.25">
      <c r="F223" s="131"/>
      <c r="G223" s="131"/>
      <c r="H223" s="131"/>
    </row>
    <row r="224" spans="6:8" s="163" customFormat="1" x14ac:dyDescent="0.25">
      <c r="F224" s="131"/>
      <c r="G224" s="131"/>
      <c r="H224" s="131"/>
    </row>
    <row r="225" spans="6:8" s="163" customFormat="1" x14ac:dyDescent="0.25">
      <c r="F225" s="131"/>
      <c r="G225" s="131"/>
      <c r="H225" s="131"/>
    </row>
    <row r="226" spans="6:8" s="163" customFormat="1" x14ac:dyDescent="0.25">
      <c r="F226" s="131"/>
      <c r="G226" s="131"/>
      <c r="H226" s="131"/>
    </row>
    <row r="227" spans="6:8" s="163" customFormat="1" x14ac:dyDescent="0.25">
      <c r="F227" s="131"/>
      <c r="G227" s="131"/>
      <c r="H227" s="131"/>
    </row>
    <row r="228" spans="6:8" s="163" customFormat="1" x14ac:dyDescent="0.25">
      <c r="F228" s="131"/>
      <c r="G228" s="131"/>
      <c r="H228" s="131"/>
    </row>
    <row r="229" spans="6:8" s="163" customFormat="1" x14ac:dyDescent="0.25">
      <c r="F229" s="131"/>
      <c r="G229" s="131"/>
      <c r="H229" s="131"/>
    </row>
    <row r="230" spans="6:8" s="163" customFormat="1" x14ac:dyDescent="0.25">
      <c r="F230" s="131"/>
      <c r="G230" s="131"/>
      <c r="H230" s="131"/>
    </row>
    <row r="231" spans="6:8" s="163" customFormat="1" x14ac:dyDescent="0.25">
      <c r="F231" s="131"/>
      <c r="G231" s="131"/>
      <c r="H231" s="131"/>
    </row>
    <row r="232" spans="6:8" s="163" customFormat="1" x14ac:dyDescent="0.25">
      <c r="F232" s="131"/>
      <c r="G232" s="131"/>
      <c r="H232" s="131"/>
    </row>
    <row r="233" spans="6:8" s="163" customFormat="1" x14ac:dyDescent="0.25">
      <c r="F233" s="131"/>
      <c r="G233" s="131"/>
      <c r="H233" s="131"/>
    </row>
    <row r="234" spans="6:8" s="163" customFormat="1" x14ac:dyDescent="0.25">
      <c r="G234" s="131"/>
      <c r="H234" s="131"/>
    </row>
  </sheetData>
  <autoFilter ref="A23:L68" xr:uid="{EF89F69C-AE2D-4213-8B8C-FE31A3656908}"/>
  <mergeCells count="1">
    <mergeCell ref="B1:G1"/>
  </mergeCells>
  <pageMargins left="0.511811024" right="0.511811024" top="0.78740157499999996" bottom="0.78740157499999996" header="0.31496062000000002" footer="0.3149606200000000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07F09-AE23-4CEE-A3AA-9E28D580DD3D}">
  <dimension ref="A1:L235"/>
  <sheetViews>
    <sheetView topLeftCell="A42" zoomScaleNormal="100" workbookViewId="0">
      <selection activeCell="A62" sqref="A62:XFD62"/>
    </sheetView>
  </sheetViews>
  <sheetFormatPr defaultColWidth="9.140625" defaultRowHeight="15" x14ac:dyDescent="0.25"/>
  <cols>
    <col min="1" max="1" width="29.5703125" style="100" customWidth="1"/>
    <col min="2" max="2" width="45.28515625" style="100" customWidth="1"/>
    <col min="3" max="3" width="29.7109375" style="100" customWidth="1"/>
    <col min="4" max="4" width="21.42578125" style="100" customWidth="1"/>
    <col min="5" max="5" width="17.42578125" style="100" customWidth="1"/>
    <col min="6" max="6" width="16.42578125" style="100" customWidth="1"/>
    <col min="7" max="7" width="17.140625" style="100" customWidth="1"/>
    <col min="8" max="8" width="16.85546875" style="100" bestFit="1" customWidth="1"/>
    <col min="9" max="9" width="44.140625" style="100" bestFit="1" customWidth="1"/>
    <col min="10" max="10" width="15.42578125" style="100" bestFit="1" customWidth="1"/>
    <col min="11" max="16384" width="9.140625" style="100"/>
  </cols>
  <sheetData>
    <row r="1" spans="1:8" customFormat="1" ht="21.75" customHeight="1" x14ac:dyDescent="0.25">
      <c r="A1" s="87"/>
      <c r="B1" s="118" t="s">
        <v>0</v>
      </c>
      <c r="C1" s="119"/>
      <c r="D1" s="119"/>
      <c r="E1" s="119"/>
      <c r="F1" s="119"/>
      <c r="G1" s="120"/>
      <c r="H1" s="88"/>
    </row>
    <row r="2" spans="1:8" customFormat="1" ht="30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3"/>
      <c r="F2" s="4" t="s">
        <v>5</v>
      </c>
      <c r="G2" s="89"/>
      <c r="H2" s="6"/>
    </row>
    <row r="3" spans="1:8" customFormat="1" ht="30.6" customHeight="1" x14ac:dyDescent="0.25">
      <c r="A3" s="7">
        <v>1</v>
      </c>
      <c r="B3" s="8" t="s">
        <v>6</v>
      </c>
      <c r="C3" s="8"/>
      <c r="D3" s="9">
        <v>45992</v>
      </c>
      <c r="E3" s="9"/>
      <c r="F3" s="10">
        <f>548.46+566.29+5000+5000</f>
        <v>11114.75</v>
      </c>
      <c r="G3" s="89"/>
      <c r="H3" s="6"/>
    </row>
    <row r="4" spans="1:8" customFormat="1" ht="30.6" customHeight="1" x14ac:dyDescent="0.25">
      <c r="A4" s="7">
        <v>2</v>
      </c>
      <c r="B4" s="8" t="s">
        <v>8</v>
      </c>
      <c r="C4" s="8" t="s">
        <v>9</v>
      </c>
      <c r="D4" s="9">
        <v>45992</v>
      </c>
      <c r="E4" s="9"/>
      <c r="F4" s="10">
        <v>39590</v>
      </c>
      <c r="G4" s="89"/>
      <c r="H4" s="11"/>
    </row>
    <row r="5" spans="1:8" customFormat="1" ht="30.6" customHeight="1" x14ac:dyDescent="0.25">
      <c r="A5" s="7">
        <v>3</v>
      </c>
      <c r="B5" s="8" t="s">
        <v>10</v>
      </c>
      <c r="C5" s="12" t="s">
        <v>11</v>
      </c>
      <c r="D5" s="9">
        <v>45992</v>
      </c>
      <c r="E5" s="9"/>
      <c r="F5" s="10">
        <f>40624.8</f>
        <v>40624.800000000003</v>
      </c>
      <c r="G5" s="89"/>
      <c r="H5" s="11"/>
    </row>
    <row r="6" spans="1:8" customFormat="1" ht="30.6" customHeight="1" x14ac:dyDescent="0.25">
      <c r="A6" s="7">
        <v>4</v>
      </c>
      <c r="B6" s="8" t="s">
        <v>189</v>
      </c>
      <c r="C6" s="12" t="s">
        <v>190</v>
      </c>
      <c r="D6" s="9">
        <v>45992</v>
      </c>
      <c r="E6" s="9"/>
      <c r="F6" s="10">
        <f>24000+3600</f>
        <v>27600</v>
      </c>
      <c r="G6" s="89"/>
      <c r="H6" s="11"/>
    </row>
    <row r="7" spans="1:8" customFormat="1" ht="30.6" customHeight="1" x14ac:dyDescent="0.25">
      <c r="A7" s="7">
        <v>5</v>
      </c>
      <c r="B7" s="8" t="s">
        <v>191</v>
      </c>
      <c r="C7" s="8"/>
      <c r="D7" s="9">
        <v>45992</v>
      </c>
      <c r="E7" s="9"/>
      <c r="F7" s="10">
        <v>300</v>
      </c>
      <c r="G7" s="89"/>
      <c r="H7" s="6"/>
    </row>
    <row r="8" spans="1:8" customFormat="1" ht="30.6" customHeight="1" x14ac:dyDescent="0.25">
      <c r="A8" s="7">
        <v>6</v>
      </c>
      <c r="B8" s="8" t="s">
        <v>12</v>
      </c>
      <c r="C8" s="8"/>
      <c r="D8" s="9">
        <v>45992</v>
      </c>
      <c r="E8" s="9"/>
      <c r="F8" s="10"/>
      <c r="G8" s="89"/>
      <c r="H8" s="6"/>
    </row>
    <row r="9" spans="1:8" customFormat="1" ht="30.6" customHeight="1" x14ac:dyDescent="0.25">
      <c r="A9" s="7">
        <v>7</v>
      </c>
      <c r="B9" s="8" t="s">
        <v>13</v>
      </c>
      <c r="C9" s="8" t="s">
        <v>14</v>
      </c>
      <c r="D9" s="9">
        <v>45992</v>
      </c>
      <c r="E9" s="9"/>
      <c r="F9" s="13">
        <v>1518</v>
      </c>
      <c r="G9" s="89"/>
      <c r="H9" s="6"/>
    </row>
    <row r="10" spans="1:8" customFormat="1" ht="30.6" customHeight="1" x14ac:dyDescent="0.25">
      <c r="A10" s="7">
        <v>8</v>
      </c>
      <c r="B10" s="8" t="s">
        <v>15</v>
      </c>
      <c r="C10" s="8" t="s">
        <v>16</v>
      </c>
      <c r="D10" s="9">
        <v>45992</v>
      </c>
      <c r="E10" s="9"/>
      <c r="F10" s="13">
        <v>2500</v>
      </c>
      <c r="G10" s="89"/>
      <c r="H10" s="6"/>
    </row>
    <row r="11" spans="1:8" customFormat="1" ht="34.5" customHeight="1" x14ac:dyDescent="0.25">
      <c r="A11" s="7">
        <v>9</v>
      </c>
      <c r="B11" s="14" t="s">
        <v>17</v>
      </c>
      <c r="C11" s="12" t="s">
        <v>18</v>
      </c>
      <c r="D11" s="9">
        <v>45992</v>
      </c>
      <c r="E11" s="9"/>
      <c r="F11" s="13">
        <v>1274</v>
      </c>
      <c r="G11" s="89"/>
      <c r="H11" s="6"/>
    </row>
    <row r="12" spans="1:8" customFormat="1" ht="30.6" customHeight="1" x14ac:dyDescent="0.25">
      <c r="A12" s="7">
        <v>10</v>
      </c>
      <c r="B12" s="14" t="s">
        <v>19</v>
      </c>
      <c r="C12" s="14" t="s">
        <v>20</v>
      </c>
      <c r="D12" s="9">
        <v>45992</v>
      </c>
      <c r="E12" s="9"/>
      <c r="F12" s="13">
        <v>160.66999999999999</v>
      </c>
      <c r="G12" s="89"/>
      <c r="H12" s="6"/>
    </row>
    <row r="13" spans="1:8" customFormat="1" ht="30.6" customHeight="1" x14ac:dyDescent="0.25">
      <c r="A13" s="7">
        <v>11</v>
      </c>
      <c r="B13" s="14" t="s">
        <v>149</v>
      </c>
      <c r="C13" s="14" t="s">
        <v>150</v>
      </c>
      <c r="D13" s="9">
        <v>45992</v>
      </c>
      <c r="E13" s="9"/>
      <c r="F13" s="13">
        <v>149.9</v>
      </c>
      <c r="G13" s="89"/>
      <c r="H13" s="6"/>
    </row>
    <row r="14" spans="1:8" customFormat="1" ht="30.6" customHeight="1" x14ac:dyDescent="0.25">
      <c r="A14" s="7">
        <v>12</v>
      </c>
      <c r="B14" s="14" t="s">
        <v>21</v>
      </c>
      <c r="C14" s="12" t="s">
        <v>22</v>
      </c>
      <c r="D14" s="9">
        <v>45992</v>
      </c>
      <c r="E14" s="9"/>
      <c r="F14" s="13">
        <v>616</v>
      </c>
      <c r="G14" s="89"/>
      <c r="H14" s="15"/>
    </row>
    <row r="15" spans="1:8" customFormat="1" ht="30.6" customHeight="1" x14ac:dyDescent="0.25">
      <c r="A15" s="7">
        <v>13</v>
      </c>
      <c r="B15" s="14" t="s">
        <v>23</v>
      </c>
      <c r="C15" s="8"/>
      <c r="D15" s="9">
        <v>45992</v>
      </c>
      <c r="E15" s="9"/>
      <c r="F15" s="13">
        <v>40</v>
      </c>
      <c r="G15" s="89"/>
      <c r="H15" s="6"/>
    </row>
    <row r="16" spans="1:8" customFormat="1" ht="31.5" customHeight="1" x14ac:dyDescent="0.25">
      <c r="A16" s="7">
        <v>14</v>
      </c>
      <c r="B16" s="14" t="s">
        <v>24</v>
      </c>
      <c r="C16" s="12" t="s">
        <v>25</v>
      </c>
      <c r="D16" s="9">
        <v>45992</v>
      </c>
      <c r="E16" s="9"/>
      <c r="F16" s="13">
        <v>435.2</v>
      </c>
      <c r="G16" s="89"/>
      <c r="H16" s="6"/>
    </row>
    <row r="17" spans="1:8" customFormat="1" ht="31.5" customHeight="1" x14ac:dyDescent="0.25">
      <c r="A17" s="7">
        <v>15</v>
      </c>
      <c r="B17" s="14" t="s">
        <v>224</v>
      </c>
      <c r="C17" s="12" t="s">
        <v>225</v>
      </c>
      <c r="D17" s="9">
        <v>45992</v>
      </c>
      <c r="E17" s="9"/>
      <c r="F17" s="13">
        <v>160</v>
      </c>
      <c r="G17" s="89"/>
      <c r="H17" s="6"/>
    </row>
    <row r="18" spans="1:8" customFormat="1" ht="31.5" customHeight="1" x14ac:dyDescent="0.25">
      <c r="A18" s="7">
        <v>16</v>
      </c>
      <c r="B18" s="14" t="s">
        <v>226</v>
      </c>
      <c r="C18" s="12"/>
      <c r="D18" s="9">
        <v>45992</v>
      </c>
      <c r="E18" s="9"/>
      <c r="F18" s="13">
        <v>132</v>
      </c>
      <c r="G18" s="89"/>
      <c r="H18" s="6"/>
    </row>
    <row r="19" spans="1:8" customFormat="1" ht="31.5" customHeight="1" x14ac:dyDescent="0.25">
      <c r="A19" s="7">
        <v>17</v>
      </c>
      <c r="B19" s="14" t="s">
        <v>227</v>
      </c>
      <c r="C19" s="12" t="s">
        <v>228</v>
      </c>
      <c r="D19" s="9">
        <v>45992</v>
      </c>
      <c r="E19" s="9"/>
      <c r="F19" s="13">
        <v>47.5</v>
      </c>
      <c r="G19" s="89"/>
      <c r="H19" s="6"/>
    </row>
    <row r="20" spans="1:8" customFormat="1" ht="31.5" customHeight="1" x14ac:dyDescent="0.25">
      <c r="A20" s="7">
        <v>18</v>
      </c>
      <c r="B20" s="14" t="s">
        <v>229</v>
      </c>
      <c r="C20" s="12" t="s">
        <v>230</v>
      </c>
      <c r="D20" s="9">
        <v>45992</v>
      </c>
      <c r="E20" s="9"/>
      <c r="F20" s="13">
        <v>829.5</v>
      </c>
      <c r="G20" s="89"/>
      <c r="H20" s="6"/>
    </row>
    <row r="21" spans="1:8" customFormat="1" ht="31.5" customHeight="1" x14ac:dyDescent="0.25">
      <c r="A21" s="7">
        <v>19</v>
      </c>
      <c r="B21" s="14" t="s">
        <v>232</v>
      </c>
      <c r="C21" s="12" t="s">
        <v>231</v>
      </c>
      <c r="D21" s="9">
        <v>45992</v>
      </c>
      <c r="E21" s="9"/>
      <c r="F21" s="13">
        <v>575.24</v>
      </c>
      <c r="G21" s="89"/>
      <c r="H21" s="6"/>
    </row>
    <row r="22" spans="1:8" customFormat="1" ht="42" customHeight="1" x14ac:dyDescent="0.25">
      <c r="A22" s="90"/>
      <c r="B22" s="91" t="s">
        <v>31</v>
      </c>
      <c r="C22" s="92"/>
      <c r="D22" s="2"/>
      <c r="E22" s="93"/>
      <c r="F22" s="94">
        <f>SUM(F3:F21)</f>
        <v>127667.56</v>
      </c>
      <c r="G22" s="95"/>
      <c r="H22" s="6"/>
    </row>
    <row r="23" spans="1:8" customFormat="1" ht="21.75" customHeight="1" x14ac:dyDescent="0.25">
      <c r="A23" s="17" t="s">
        <v>32</v>
      </c>
      <c r="B23" s="17" t="s">
        <v>33</v>
      </c>
      <c r="C23" s="96" t="s">
        <v>34</v>
      </c>
      <c r="D23" s="17" t="s">
        <v>35</v>
      </c>
      <c r="E23" s="17" t="s">
        <v>36</v>
      </c>
      <c r="F23" s="17" t="s">
        <v>37</v>
      </c>
      <c r="G23" s="97" t="s">
        <v>38</v>
      </c>
      <c r="H23" s="96" t="s">
        <v>39</v>
      </c>
    </row>
    <row r="24" spans="1:8" s="104" customFormat="1" ht="15" customHeight="1" x14ac:dyDescent="0.25">
      <c r="A24" s="20" t="s">
        <v>40</v>
      </c>
      <c r="B24" s="86" t="s">
        <v>41</v>
      </c>
      <c r="C24" s="30" t="s">
        <v>42</v>
      </c>
      <c r="D24" s="23">
        <v>4016</v>
      </c>
      <c r="E24" s="24">
        <f>D24/$D$69</f>
        <v>1.261051708332556E-2</v>
      </c>
      <c r="F24" s="25">
        <f>$F$22*E24</f>
        <v>1609.953946366491</v>
      </c>
      <c r="G24" s="31">
        <f>F24*5%</f>
        <v>80.497697318324555</v>
      </c>
      <c r="H24" s="31">
        <f t="shared" ref="H24:H68" si="0">F24+G24</f>
        <v>1690.4516436848155</v>
      </c>
    </row>
    <row r="25" spans="1:8" s="33" customFormat="1" x14ac:dyDescent="0.25">
      <c r="A25" s="20" t="s">
        <v>43</v>
      </c>
      <c r="B25" s="29" t="s">
        <v>44</v>
      </c>
      <c r="C25" s="30">
        <v>18778225000139</v>
      </c>
      <c r="D25" s="23">
        <v>8711.2199999999993</v>
      </c>
      <c r="E25" s="24">
        <f t="shared" ref="E25:E68" si="1">D25/$D$69</f>
        <v>2.7353831829334482E-2</v>
      </c>
      <c r="F25" s="25">
        <f t="shared" ref="F25:F68" si="2">$F$22*E25</f>
        <v>3492.1969663014697</v>
      </c>
      <c r="G25" s="31">
        <f t="shared" ref="G25:G68" si="3">F25*5%</f>
        <v>174.60984831507349</v>
      </c>
      <c r="H25" s="31">
        <f t="shared" si="0"/>
        <v>3666.8068146165433</v>
      </c>
    </row>
    <row r="26" spans="1:8" s="33" customFormat="1" x14ac:dyDescent="0.25">
      <c r="A26" s="20" t="s">
        <v>45</v>
      </c>
      <c r="B26" s="29" t="s">
        <v>46</v>
      </c>
      <c r="C26" s="30">
        <v>41993875000119</v>
      </c>
      <c r="D26" s="23">
        <v>3641.8</v>
      </c>
      <c r="E26" s="24">
        <f t="shared" si="1"/>
        <v>1.143550326545195E-2</v>
      </c>
      <c r="F26" s="25">
        <f t="shared" si="2"/>
        <v>1459.9427992722826</v>
      </c>
      <c r="G26" s="31">
        <f t="shared" si="3"/>
        <v>72.997139963614131</v>
      </c>
      <c r="H26" s="31">
        <f t="shared" si="0"/>
        <v>1532.9399392358969</v>
      </c>
    </row>
    <row r="27" spans="1:8" s="33" customFormat="1" x14ac:dyDescent="0.25">
      <c r="A27" s="20" t="s">
        <v>47</v>
      </c>
      <c r="B27" s="86" t="s">
        <v>48</v>
      </c>
      <c r="C27" s="30">
        <v>24781302000102</v>
      </c>
      <c r="D27" s="23">
        <v>3430</v>
      </c>
      <c r="E27" s="24">
        <f t="shared" si="1"/>
        <v>1.07704366523423E-2</v>
      </c>
      <c r="F27" s="25">
        <f t="shared" si="2"/>
        <v>1375.0353675391095</v>
      </c>
      <c r="G27" s="31">
        <f t="shared" si="3"/>
        <v>68.751768376955482</v>
      </c>
      <c r="H27" s="31">
        <f t="shared" si="0"/>
        <v>1443.7871359160649</v>
      </c>
    </row>
    <row r="28" spans="1:8" s="33" customFormat="1" x14ac:dyDescent="0.25">
      <c r="A28" s="20" t="s">
        <v>161</v>
      </c>
      <c r="B28" s="86" t="s">
        <v>162</v>
      </c>
      <c r="C28" s="30" t="s">
        <v>163</v>
      </c>
      <c r="D28" s="23">
        <v>9403</v>
      </c>
      <c r="E28" s="24">
        <f t="shared" si="1"/>
        <v>2.9526068758593187E-2</v>
      </c>
      <c r="F28" s="25">
        <f t="shared" si="2"/>
        <v>3769.521154801821</v>
      </c>
      <c r="G28" s="31">
        <f t="shared" si="3"/>
        <v>188.47605774009105</v>
      </c>
      <c r="H28" s="31">
        <f t="shared" si="0"/>
        <v>3957.9972125419122</v>
      </c>
    </row>
    <row r="29" spans="1:8" s="33" customFormat="1" x14ac:dyDescent="0.25">
      <c r="A29" s="20" t="s">
        <v>49</v>
      </c>
      <c r="B29" s="86" t="s">
        <v>50</v>
      </c>
      <c r="C29" s="30">
        <v>38649716000197</v>
      </c>
      <c r="D29" s="23">
        <v>3440</v>
      </c>
      <c r="E29" s="24">
        <f t="shared" si="1"/>
        <v>1.0801837342290819E-2</v>
      </c>
      <c r="F29" s="25">
        <f t="shared" si="2"/>
        <v>1379.0442170071535</v>
      </c>
      <c r="G29" s="31">
        <f t="shared" si="3"/>
        <v>68.952210850357673</v>
      </c>
      <c r="H29" s="31">
        <f t="shared" si="0"/>
        <v>1447.9964278575112</v>
      </c>
    </row>
    <row r="30" spans="1:8" s="33" customFormat="1" x14ac:dyDescent="0.25">
      <c r="A30" s="20" t="s">
        <v>51</v>
      </c>
      <c r="B30" s="86" t="s">
        <v>52</v>
      </c>
      <c r="C30" s="30" t="s">
        <v>53</v>
      </c>
      <c r="D30" s="23">
        <v>4056</v>
      </c>
      <c r="E30" s="24">
        <f t="shared" si="1"/>
        <v>1.2736119843119641E-2</v>
      </c>
      <c r="F30" s="25">
        <f t="shared" si="2"/>
        <v>1625.9893442386672</v>
      </c>
      <c r="G30" s="31">
        <f t="shared" si="3"/>
        <v>81.299467211933361</v>
      </c>
      <c r="H30" s="31">
        <f t="shared" si="0"/>
        <v>1707.2888114506006</v>
      </c>
    </row>
    <row r="31" spans="1:8" s="33" customFormat="1" x14ac:dyDescent="0.25">
      <c r="A31" s="20" t="s">
        <v>54</v>
      </c>
      <c r="B31" s="86" t="s">
        <v>55</v>
      </c>
      <c r="C31" s="30" t="s">
        <v>56</v>
      </c>
      <c r="D31" s="23">
        <v>11580</v>
      </c>
      <c r="E31" s="24">
        <f t="shared" si="1"/>
        <v>3.6361998960385951E-2</v>
      </c>
      <c r="F31" s="25">
        <f t="shared" si="2"/>
        <v>4642.2476839950114</v>
      </c>
      <c r="G31" s="31">
        <f t="shared" si="3"/>
        <v>232.11238419975058</v>
      </c>
      <c r="H31" s="31">
        <f t="shared" si="0"/>
        <v>4874.3600681947619</v>
      </c>
    </row>
    <row r="32" spans="1:8" s="33" customFormat="1" x14ac:dyDescent="0.25">
      <c r="A32" s="20" t="s">
        <v>57</v>
      </c>
      <c r="B32" s="86" t="s">
        <v>58</v>
      </c>
      <c r="C32" s="30" t="s">
        <v>178</v>
      </c>
      <c r="D32" s="23">
        <f>360+360+1510</f>
        <v>2230</v>
      </c>
      <c r="E32" s="24">
        <f t="shared" si="1"/>
        <v>7.0023538585199203E-3</v>
      </c>
      <c r="F32" s="25">
        <f t="shared" si="2"/>
        <v>893.97343137382347</v>
      </c>
      <c r="G32" s="31">
        <f t="shared" si="3"/>
        <v>44.698671568691175</v>
      </c>
      <c r="H32" s="31">
        <f t="shared" si="0"/>
        <v>938.6721029425147</v>
      </c>
    </row>
    <row r="33" spans="1:12" s="33" customFormat="1" ht="15.75" customHeight="1" x14ac:dyDescent="0.25">
      <c r="A33" s="20" t="s">
        <v>60</v>
      </c>
      <c r="B33" s="29" t="s">
        <v>61</v>
      </c>
      <c r="C33" s="30" t="s">
        <v>62</v>
      </c>
      <c r="D33" s="23">
        <f>5224+3930</f>
        <v>9154</v>
      </c>
      <c r="E33" s="24">
        <f t="shared" si="1"/>
        <v>2.8744191578875044E-2</v>
      </c>
      <c r="F33" s="25">
        <f t="shared" si="2"/>
        <v>3669.7008030475245</v>
      </c>
      <c r="G33" s="31">
        <f t="shared" si="3"/>
        <v>183.48504015237623</v>
      </c>
      <c r="H33" s="31">
        <f t="shared" si="0"/>
        <v>3853.1858431999008</v>
      </c>
      <c r="I33" s="105" t="s">
        <v>63</v>
      </c>
      <c r="J33" s="33" t="s">
        <v>64</v>
      </c>
    </row>
    <row r="34" spans="1:12" s="33" customFormat="1" ht="15.75" customHeight="1" x14ac:dyDescent="0.25">
      <c r="A34" s="20" t="s">
        <v>65</v>
      </c>
      <c r="B34" s="29" t="s">
        <v>66</v>
      </c>
      <c r="C34" s="30" t="s">
        <v>67</v>
      </c>
      <c r="D34" s="23">
        <v>2610</v>
      </c>
      <c r="E34" s="24">
        <f t="shared" si="1"/>
        <v>8.195580076563673E-3</v>
      </c>
      <c r="F34" s="25">
        <f t="shared" si="2"/>
        <v>1046.3097111594973</v>
      </c>
      <c r="G34" s="31">
        <f t="shared" si="3"/>
        <v>52.315485557974867</v>
      </c>
      <c r="H34" s="31">
        <f t="shared" si="0"/>
        <v>1098.6251967174721</v>
      </c>
    </row>
    <row r="35" spans="1:12" s="33" customFormat="1" ht="15.75" customHeight="1" x14ac:dyDescent="0.25">
      <c r="A35" s="20" t="s">
        <v>68</v>
      </c>
      <c r="B35" s="29" t="s">
        <v>69</v>
      </c>
      <c r="C35" s="30" t="s">
        <v>70</v>
      </c>
      <c r="D35" s="23">
        <v>5515</v>
      </c>
      <c r="E35" s="24">
        <f t="shared" si="1"/>
        <v>1.7317480506608682E-2</v>
      </c>
      <c r="F35" s="25">
        <f t="shared" si="2"/>
        <v>2210.8804816262941</v>
      </c>
      <c r="G35" s="31">
        <f t="shared" si="3"/>
        <v>110.54402408131472</v>
      </c>
      <c r="H35" s="31">
        <f t="shared" si="0"/>
        <v>2321.4245057076087</v>
      </c>
    </row>
    <row r="36" spans="1:12" s="33" customFormat="1" ht="15.75" customHeight="1" x14ac:dyDescent="0.25">
      <c r="A36" s="20" t="s">
        <v>71</v>
      </c>
      <c r="B36" s="86" t="s">
        <v>72</v>
      </c>
      <c r="C36" s="30">
        <v>17202383000183</v>
      </c>
      <c r="D36" s="23">
        <v>15332</v>
      </c>
      <c r="E36" s="24">
        <f t="shared" si="1"/>
        <v>4.814353782907059E-2</v>
      </c>
      <c r="F36" s="25">
        <f t="shared" si="2"/>
        <v>6146.3680044051389</v>
      </c>
      <c r="G36" s="31">
        <f t="shared" si="3"/>
        <v>307.31840022025699</v>
      </c>
      <c r="H36" s="31">
        <f t="shared" si="0"/>
        <v>6453.6864046253959</v>
      </c>
    </row>
    <row r="37" spans="1:12" s="33" customFormat="1" ht="15.75" customHeight="1" x14ac:dyDescent="0.25">
      <c r="A37" s="20" t="s">
        <v>73</v>
      </c>
      <c r="B37" s="86" t="s">
        <v>74</v>
      </c>
      <c r="C37" s="30">
        <v>18183488000103</v>
      </c>
      <c r="D37" s="23">
        <v>7238</v>
      </c>
      <c r="E37" s="24">
        <f t="shared" si="1"/>
        <v>2.2727819384738647E-2</v>
      </c>
      <c r="F37" s="25">
        <f t="shared" si="2"/>
        <v>2901.6052449702843</v>
      </c>
      <c r="G37" s="31">
        <f t="shared" si="3"/>
        <v>145.08026224851423</v>
      </c>
      <c r="H37" s="31">
        <f t="shared" si="0"/>
        <v>3046.6855072187986</v>
      </c>
    </row>
    <row r="38" spans="1:12" s="33" customFormat="1" x14ac:dyDescent="0.25">
      <c r="A38" s="20" t="s">
        <v>75</v>
      </c>
      <c r="B38" s="86" t="s">
        <v>76</v>
      </c>
      <c r="C38" s="30">
        <v>18244070000150</v>
      </c>
      <c r="D38" s="23">
        <v>5941</v>
      </c>
      <c r="E38" s="24">
        <f t="shared" si="1"/>
        <v>1.8655149898415626E-2</v>
      </c>
      <c r="F38" s="25">
        <f t="shared" si="2"/>
        <v>2381.6574689649706</v>
      </c>
      <c r="G38" s="31">
        <f t="shared" si="3"/>
        <v>119.08287344824853</v>
      </c>
      <c r="H38" s="31">
        <f t="shared" si="0"/>
        <v>2500.740342413219</v>
      </c>
    </row>
    <row r="39" spans="1:12" s="33" customFormat="1" x14ac:dyDescent="0.25">
      <c r="A39" s="20" t="s">
        <v>77</v>
      </c>
      <c r="B39" s="86" t="s">
        <v>78</v>
      </c>
      <c r="C39" s="30">
        <v>18244039000110</v>
      </c>
      <c r="D39" s="23">
        <v>4460</v>
      </c>
      <c r="E39" s="24">
        <f t="shared" si="1"/>
        <v>1.4004707717039841E-2</v>
      </c>
      <c r="F39" s="25">
        <f t="shared" si="2"/>
        <v>1787.9468627476469</v>
      </c>
      <c r="G39" s="31">
        <f t="shared" si="3"/>
        <v>89.39734313738235</v>
      </c>
      <c r="H39" s="31">
        <f t="shared" si="0"/>
        <v>1877.3442058850294</v>
      </c>
    </row>
    <row r="40" spans="1:12" s="33" customFormat="1" x14ac:dyDescent="0.25">
      <c r="A40" s="20" t="s">
        <v>79</v>
      </c>
      <c r="B40" s="86" t="s">
        <v>153</v>
      </c>
      <c r="C40" s="30" t="s">
        <v>154</v>
      </c>
      <c r="D40" s="23">
        <v>4415</v>
      </c>
      <c r="E40" s="24">
        <f t="shared" si="1"/>
        <v>1.3863404612271502E-2</v>
      </c>
      <c r="F40" s="25">
        <f t="shared" si="2"/>
        <v>1769.9070401414488</v>
      </c>
      <c r="G40" s="31">
        <f t="shared" si="3"/>
        <v>88.495352007072441</v>
      </c>
      <c r="H40" s="31">
        <f t="shared" si="0"/>
        <v>1858.4023921485211</v>
      </c>
    </row>
    <row r="41" spans="1:12" s="33" customFormat="1" x14ac:dyDescent="0.25">
      <c r="A41" s="20" t="s">
        <v>233</v>
      </c>
      <c r="B41" s="86" t="s">
        <v>234</v>
      </c>
      <c r="C41" s="30" t="s">
        <v>235</v>
      </c>
      <c r="D41" s="23">
        <v>4760</v>
      </c>
      <c r="E41" s="24">
        <f t="shared" si="1"/>
        <v>1.4946728415495436E-2</v>
      </c>
      <c r="F41" s="25">
        <f t="shared" si="2"/>
        <v>1908.2123467889685</v>
      </c>
      <c r="G41" s="31">
        <f t="shared" si="3"/>
        <v>95.410617339448436</v>
      </c>
      <c r="H41" s="31">
        <f t="shared" si="0"/>
        <v>2003.6229641284169</v>
      </c>
    </row>
    <row r="42" spans="1:12" s="33" customFormat="1" x14ac:dyDescent="0.25">
      <c r="A42" s="20" t="s">
        <v>81</v>
      </c>
      <c r="B42" s="86" t="s">
        <v>82</v>
      </c>
      <c r="C42" s="30" t="s">
        <v>83</v>
      </c>
      <c r="D42" s="23">
        <v>8673</v>
      </c>
      <c r="E42" s="24">
        <f t="shared" si="1"/>
        <v>2.7233818392351242E-2</v>
      </c>
      <c r="F42" s="25">
        <f t="shared" si="2"/>
        <v>3476.8751436346056</v>
      </c>
      <c r="G42" s="31">
        <f t="shared" si="3"/>
        <v>173.8437571817303</v>
      </c>
      <c r="H42" s="31">
        <f t="shared" si="0"/>
        <v>3650.7189008163359</v>
      </c>
    </row>
    <row r="43" spans="1:12" s="33" customFormat="1" x14ac:dyDescent="0.25">
      <c r="A43" s="20" t="s">
        <v>84</v>
      </c>
      <c r="B43" s="86" t="s">
        <v>155</v>
      </c>
      <c r="C43" s="30" t="s">
        <v>86</v>
      </c>
      <c r="D43" s="23">
        <v>9239</v>
      </c>
      <c r="E43" s="24">
        <f t="shared" si="1"/>
        <v>2.9011097443437463E-2</v>
      </c>
      <c r="F43" s="25">
        <f t="shared" si="2"/>
        <v>3703.7760235258988</v>
      </c>
      <c r="G43" s="31">
        <f t="shared" si="3"/>
        <v>185.18880117629496</v>
      </c>
      <c r="H43" s="31">
        <f t="shared" si="0"/>
        <v>3888.9648247021937</v>
      </c>
    </row>
    <row r="44" spans="1:12" s="33" customFormat="1" x14ac:dyDescent="0.25">
      <c r="A44" s="20" t="s">
        <v>87</v>
      </c>
      <c r="B44" s="86" t="s">
        <v>88</v>
      </c>
      <c r="C44" s="30" t="s">
        <v>89</v>
      </c>
      <c r="D44" s="23">
        <v>4892</v>
      </c>
      <c r="E44" s="24">
        <f t="shared" si="1"/>
        <v>1.5361217522815896E-2</v>
      </c>
      <c r="F44" s="25">
        <f t="shared" si="2"/>
        <v>1961.1291597671498</v>
      </c>
      <c r="G44" s="31">
        <f t="shared" si="3"/>
        <v>98.056457988357494</v>
      </c>
      <c r="H44" s="31">
        <f t="shared" si="0"/>
        <v>2059.1856177555073</v>
      </c>
    </row>
    <row r="45" spans="1:12" s="33" customFormat="1" x14ac:dyDescent="0.25">
      <c r="A45" s="20" t="s">
        <v>90</v>
      </c>
      <c r="B45" s="86" t="s">
        <v>91</v>
      </c>
      <c r="C45" s="30">
        <v>41497649000147</v>
      </c>
      <c r="D45" s="23">
        <v>2526</v>
      </c>
      <c r="E45" s="24">
        <f t="shared" si="1"/>
        <v>7.9318142809961072E-3</v>
      </c>
      <c r="F45" s="25">
        <f t="shared" si="2"/>
        <v>1012.6353756279274</v>
      </c>
      <c r="G45" s="31">
        <f t="shared" si="3"/>
        <v>50.631768781396374</v>
      </c>
      <c r="H45" s="31">
        <f t="shared" si="0"/>
        <v>1063.2671444093237</v>
      </c>
    </row>
    <row r="46" spans="1:12" s="33" customFormat="1" x14ac:dyDescent="0.25">
      <c r="A46" s="20" t="s">
        <v>92</v>
      </c>
      <c r="B46" s="86" t="s">
        <v>93</v>
      </c>
      <c r="C46" s="30">
        <v>40580071000125</v>
      </c>
      <c r="D46" s="23">
        <v>3600</v>
      </c>
      <c r="E46" s="24">
        <f t="shared" si="1"/>
        <v>1.1304248381467137E-2</v>
      </c>
      <c r="F46" s="25">
        <f t="shared" si="2"/>
        <v>1443.1858084958585</v>
      </c>
      <c r="G46" s="31">
        <f t="shared" si="3"/>
        <v>72.159290424792928</v>
      </c>
      <c r="H46" s="31">
        <f t="shared" si="0"/>
        <v>1515.3450989206515</v>
      </c>
      <c r="I46" s="105" t="s">
        <v>63</v>
      </c>
      <c r="J46" s="33" t="s">
        <v>94</v>
      </c>
      <c r="L46" s="106"/>
    </row>
    <row r="47" spans="1:12" s="33" customFormat="1" x14ac:dyDescent="0.25">
      <c r="A47" s="20" t="s">
        <v>95</v>
      </c>
      <c r="B47" s="86" t="s">
        <v>96</v>
      </c>
      <c r="C47" s="30" t="s">
        <v>97</v>
      </c>
      <c r="D47" s="23">
        <v>3938</v>
      </c>
      <c r="E47" s="24">
        <f t="shared" si="1"/>
        <v>1.2365591701727106E-2</v>
      </c>
      <c r="F47" s="25">
        <f t="shared" si="2"/>
        <v>1578.6849205157473</v>
      </c>
      <c r="G47" s="31">
        <f t="shared" si="3"/>
        <v>78.934246025787374</v>
      </c>
      <c r="H47" s="31">
        <f t="shared" si="0"/>
        <v>1657.6191665415347</v>
      </c>
    </row>
    <row r="48" spans="1:12" s="33" customFormat="1" x14ac:dyDescent="0.25">
      <c r="A48" s="20" t="s">
        <v>98</v>
      </c>
      <c r="B48" s="86" t="s">
        <v>167</v>
      </c>
      <c r="C48" s="30" t="s">
        <v>168</v>
      </c>
      <c r="D48" s="23">
        <v>3707</v>
      </c>
      <c r="E48" s="24">
        <f t="shared" si="1"/>
        <v>1.1640235763916299E-2</v>
      </c>
      <c r="F48" s="25">
        <f t="shared" si="2"/>
        <v>1486.0804978039298</v>
      </c>
      <c r="G48" s="31">
        <f t="shared" si="3"/>
        <v>74.304024890196487</v>
      </c>
      <c r="H48" s="31">
        <f t="shared" si="0"/>
        <v>1560.3845226941262</v>
      </c>
    </row>
    <row r="49" spans="1:10" s="33" customFormat="1" x14ac:dyDescent="0.25">
      <c r="A49" s="20" t="s">
        <v>100</v>
      </c>
      <c r="B49" s="86" t="s">
        <v>101</v>
      </c>
      <c r="C49" s="30">
        <v>42109766000159</v>
      </c>
      <c r="D49" s="23">
        <v>5117</v>
      </c>
      <c r="E49" s="24">
        <f t="shared" si="1"/>
        <v>1.6067733046657592E-2</v>
      </c>
      <c r="F49" s="25">
        <f t="shared" si="2"/>
        <v>2051.3282727981409</v>
      </c>
      <c r="G49" s="31">
        <f t="shared" si="3"/>
        <v>102.56641363990705</v>
      </c>
      <c r="H49" s="31">
        <f t="shared" si="0"/>
        <v>2153.8946864380478</v>
      </c>
    </row>
    <row r="50" spans="1:10" s="33" customFormat="1" x14ac:dyDescent="0.25">
      <c r="A50" s="20" t="s">
        <v>102</v>
      </c>
      <c r="B50" s="86" t="s">
        <v>99</v>
      </c>
      <c r="C50" s="30">
        <v>18788190000119</v>
      </c>
      <c r="D50" s="23">
        <v>14717</v>
      </c>
      <c r="E50" s="24">
        <f t="shared" si="1"/>
        <v>4.6212395397236622E-2</v>
      </c>
      <c r="F50" s="25">
        <f t="shared" si="2"/>
        <v>5899.8237621204298</v>
      </c>
      <c r="G50" s="31">
        <f t="shared" si="3"/>
        <v>294.99118810602153</v>
      </c>
      <c r="H50" s="31">
        <f t="shared" si="0"/>
        <v>6194.8149502264514</v>
      </c>
    </row>
    <row r="51" spans="1:10" s="33" customFormat="1" ht="13.5" customHeight="1" x14ac:dyDescent="0.25">
      <c r="A51" s="20" t="s">
        <v>103</v>
      </c>
      <c r="B51" s="86" t="s">
        <v>104</v>
      </c>
      <c r="C51" s="30">
        <v>32302613000170</v>
      </c>
      <c r="D51" s="23">
        <v>5439</v>
      </c>
      <c r="E51" s="24">
        <f t="shared" si="1"/>
        <v>1.7078835262999931E-2</v>
      </c>
      <c r="F51" s="25">
        <f t="shared" si="2"/>
        <v>2180.4132256691596</v>
      </c>
      <c r="G51" s="31">
        <f t="shared" si="3"/>
        <v>109.02066128345798</v>
      </c>
      <c r="H51" s="31">
        <f t="shared" si="0"/>
        <v>2289.4338869526177</v>
      </c>
    </row>
    <row r="52" spans="1:10" s="33" customFormat="1" x14ac:dyDescent="0.25">
      <c r="A52" s="20" t="s">
        <v>105</v>
      </c>
      <c r="B52" s="86" t="s">
        <v>106</v>
      </c>
      <c r="C52" s="30">
        <v>28616552000148</v>
      </c>
      <c r="D52" s="23">
        <v>4123.71</v>
      </c>
      <c r="E52" s="24">
        <f t="shared" si="1"/>
        <v>1.2948733914761068E-2</v>
      </c>
      <c r="F52" s="25">
        <f t="shared" si="2"/>
        <v>1653.1332639867935</v>
      </c>
      <c r="G52" s="31">
        <f t="shared" si="3"/>
        <v>82.656663199339675</v>
      </c>
      <c r="H52" s="31">
        <f t="shared" si="0"/>
        <v>1735.7899271861331</v>
      </c>
    </row>
    <row r="53" spans="1:10" s="33" customFormat="1" x14ac:dyDescent="0.25">
      <c r="A53" s="20" t="s">
        <v>107</v>
      </c>
      <c r="B53" s="86" t="s">
        <v>108</v>
      </c>
      <c r="C53" s="30">
        <v>42579914000107</v>
      </c>
      <c r="D53" s="23">
        <v>4986.3599999999997</v>
      </c>
      <c r="E53" s="24">
        <f t="shared" si="1"/>
        <v>1.5657514433170129E-2</v>
      </c>
      <c r="F53" s="25">
        <f t="shared" si="2"/>
        <v>1998.9566633476134</v>
      </c>
      <c r="G53" s="31">
        <f t="shared" si="3"/>
        <v>99.947833167380679</v>
      </c>
      <c r="H53" s="31">
        <f t="shared" si="0"/>
        <v>2098.9044965149942</v>
      </c>
    </row>
    <row r="54" spans="1:10" s="33" customFormat="1" x14ac:dyDescent="0.25">
      <c r="A54" s="20" t="s">
        <v>199</v>
      </c>
      <c r="B54" s="86" t="s">
        <v>200</v>
      </c>
      <c r="C54" s="30" t="s">
        <v>201</v>
      </c>
      <c r="D54" s="23">
        <v>3946</v>
      </c>
      <c r="E54" s="24">
        <f t="shared" si="1"/>
        <v>1.2390712253685921E-2</v>
      </c>
      <c r="F54" s="25">
        <f t="shared" si="2"/>
        <v>1581.8920000901826</v>
      </c>
      <c r="G54" s="31">
        <f t="shared" si="3"/>
        <v>79.094600004509132</v>
      </c>
      <c r="H54" s="31">
        <f t="shared" si="0"/>
        <v>1660.9866000946918</v>
      </c>
      <c r="J54" s="107"/>
    </row>
    <row r="55" spans="1:10" s="33" customFormat="1" x14ac:dyDescent="0.25">
      <c r="A55" s="20" t="s">
        <v>202</v>
      </c>
      <c r="B55" s="86" t="s">
        <v>203</v>
      </c>
      <c r="C55" s="30" t="s">
        <v>204</v>
      </c>
      <c r="D55" s="23">
        <v>3516</v>
      </c>
      <c r="E55" s="24">
        <f t="shared" si="1"/>
        <v>1.1040482585899569E-2</v>
      </c>
      <c r="F55" s="25">
        <f t="shared" si="2"/>
        <v>1409.5114729642885</v>
      </c>
      <c r="G55" s="31">
        <f t="shared" si="3"/>
        <v>70.475573648214421</v>
      </c>
      <c r="H55" s="31">
        <f t="shared" si="0"/>
        <v>1479.9870466125028</v>
      </c>
      <c r="J55" s="107"/>
    </row>
    <row r="56" spans="1:10" s="33" customFormat="1" x14ac:dyDescent="0.25">
      <c r="A56" s="20" t="s">
        <v>112</v>
      </c>
      <c r="B56" s="86" t="s">
        <v>205</v>
      </c>
      <c r="C56" s="30" t="s">
        <v>206</v>
      </c>
      <c r="D56" s="23">
        <v>5525</v>
      </c>
      <c r="E56" s="24">
        <f t="shared" si="1"/>
        <v>1.7348881196557201E-2</v>
      </c>
      <c r="F56" s="25">
        <f t="shared" si="2"/>
        <v>2214.8893310943381</v>
      </c>
      <c r="G56" s="31">
        <f t="shared" si="3"/>
        <v>110.74446655471691</v>
      </c>
      <c r="H56" s="31">
        <f t="shared" si="0"/>
        <v>2325.6337976490549</v>
      </c>
    </row>
    <row r="57" spans="1:10" s="33" customFormat="1" x14ac:dyDescent="0.25">
      <c r="A57" s="20" t="s">
        <v>179</v>
      </c>
      <c r="B57" s="86" t="s">
        <v>211</v>
      </c>
      <c r="C57" s="30" t="s">
        <v>212</v>
      </c>
      <c r="D57" s="23">
        <v>11302</v>
      </c>
      <c r="E57" s="24">
        <f t="shared" si="1"/>
        <v>3.5489059779817103E-2</v>
      </c>
      <c r="F57" s="25">
        <f t="shared" si="2"/>
        <v>4530.801668783387</v>
      </c>
      <c r="G57" s="31">
        <f t="shared" si="3"/>
        <v>226.54008343916936</v>
      </c>
      <c r="H57" s="31">
        <f t="shared" si="0"/>
        <v>4757.3417522225564</v>
      </c>
    </row>
    <row r="58" spans="1:10" s="33" customFormat="1" x14ac:dyDescent="0.25">
      <c r="A58" s="20" t="s">
        <v>117</v>
      </c>
      <c r="B58" s="86" t="s">
        <v>118</v>
      </c>
      <c r="C58" s="30" t="s">
        <v>119</v>
      </c>
      <c r="D58" s="23">
        <v>4943</v>
      </c>
      <c r="E58" s="24">
        <f t="shared" si="1"/>
        <v>1.5521361041553348E-2</v>
      </c>
      <c r="F58" s="25">
        <f t="shared" si="2"/>
        <v>1981.5742920541745</v>
      </c>
      <c r="G58" s="31">
        <f t="shared" si="3"/>
        <v>99.078714602708729</v>
      </c>
      <c r="H58" s="31">
        <f t="shared" si="0"/>
        <v>2080.6530066568835</v>
      </c>
    </row>
    <row r="59" spans="1:10" s="33" customFormat="1" x14ac:dyDescent="0.25">
      <c r="A59" s="20" t="s">
        <v>120</v>
      </c>
      <c r="B59" s="86" t="s">
        <v>121</v>
      </c>
      <c r="C59" s="30">
        <v>12997366000166</v>
      </c>
      <c r="D59" s="23">
        <v>5160</v>
      </c>
      <c r="E59" s="24">
        <f t="shared" si="1"/>
        <v>1.620275601343623E-2</v>
      </c>
      <c r="F59" s="25">
        <f t="shared" si="2"/>
        <v>2068.5663255107306</v>
      </c>
      <c r="G59" s="31">
        <f t="shared" si="3"/>
        <v>103.42831627553653</v>
      </c>
      <c r="H59" s="31">
        <f t="shared" si="0"/>
        <v>2171.994641786267</v>
      </c>
    </row>
    <row r="60" spans="1:10" s="33" customFormat="1" ht="16.5" customHeight="1" x14ac:dyDescent="0.25">
      <c r="A60" s="20" t="s">
        <v>122</v>
      </c>
      <c r="B60" s="86" t="s">
        <v>123</v>
      </c>
      <c r="C60" s="30" t="s">
        <v>124</v>
      </c>
      <c r="D60" s="23">
        <v>6586</v>
      </c>
      <c r="E60" s="24">
        <f t="shared" si="1"/>
        <v>2.0680494400095156E-2</v>
      </c>
      <c r="F60" s="25">
        <f t="shared" si="2"/>
        <v>2640.2282596538121</v>
      </c>
      <c r="G60" s="31">
        <f t="shared" si="3"/>
        <v>132.01141298269062</v>
      </c>
      <c r="H60" s="31">
        <f t="shared" si="0"/>
        <v>2772.2396726365027</v>
      </c>
    </row>
    <row r="61" spans="1:10" s="33" customFormat="1" x14ac:dyDescent="0.25">
      <c r="A61" s="20" t="s">
        <v>125</v>
      </c>
      <c r="B61" s="86" t="s">
        <v>126</v>
      </c>
      <c r="C61" s="30">
        <v>11884518000151</v>
      </c>
      <c r="D61" s="23">
        <v>5644</v>
      </c>
      <c r="E61" s="24">
        <f t="shared" si="1"/>
        <v>1.7722549406944586E-2</v>
      </c>
      <c r="F61" s="25">
        <f t="shared" si="2"/>
        <v>2262.5946397640623</v>
      </c>
      <c r="G61" s="31">
        <f t="shared" si="3"/>
        <v>113.12973198820312</v>
      </c>
      <c r="H61" s="31">
        <f t="shared" si="0"/>
        <v>2375.7243717522656</v>
      </c>
    </row>
    <row r="62" spans="1:10" s="63" customFormat="1" x14ac:dyDescent="0.25">
      <c r="A62" s="56" t="s">
        <v>147</v>
      </c>
      <c r="B62" s="57" t="s">
        <v>148</v>
      </c>
      <c r="C62" s="58">
        <v>41142377000162</v>
      </c>
      <c r="D62" s="59">
        <v>1134.82</v>
      </c>
      <c r="E62" s="60">
        <f t="shared" si="1"/>
        <v>3.5634130967379263E-3</v>
      </c>
      <c r="F62" s="61">
        <f t="shared" si="2"/>
        <v>454.93225533257498</v>
      </c>
      <c r="G62" s="62">
        <f t="shared" si="3"/>
        <v>22.746612766628751</v>
      </c>
      <c r="H62" s="62">
        <f t="shared" si="0"/>
        <v>477.67886809920373</v>
      </c>
    </row>
    <row r="63" spans="1:10" s="33" customFormat="1" x14ac:dyDescent="0.25">
      <c r="A63" s="20" t="s">
        <v>129</v>
      </c>
      <c r="B63" s="86" t="s">
        <v>130</v>
      </c>
      <c r="C63" s="30" t="s">
        <v>131</v>
      </c>
      <c r="D63" s="23">
        <f>7425*40%</f>
        <v>2970</v>
      </c>
      <c r="E63" s="24">
        <f t="shared" si="1"/>
        <v>9.3260049147103879E-3</v>
      </c>
      <c r="F63" s="25">
        <f t="shared" si="2"/>
        <v>1190.6282920090832</v>
      </c>
      <c r="G63" s="31">
        <f t="shared" si="3"/>
        <v>59.531414600454163</v>
      </c>
      <c r="H63" s="31">
        <f t="shared" si="0"/>
        <v>1250.1597066095374</v>
      </c>
    </row>
    <row r="64" spans="1:10" s="33" customFormat="1" x14ac:dyDescent="0.25">
      <c r="A64" s="20" t="s">
        <v>132</v>
      </c>
      <c r="B64" s="86" t="s">
        <v>133</v>
      </c>
      <c r="C64" s="30">
        <v>18741082000190</v>
      </c>
      <c r="D64" s="23">
        <v>12183</v>
      </c>
      <c r="E64" s="24">
        <f t="shared" si="1"/>
        <v>3.8255460564281703E-2</v>
      </c>
      <c r="F64" s="25">
        <f t="shared" si="2"/>
        <v>4883.9813069180682</v>
      </c>
      <c r="G64" s="31">
        <f t="shared" si="3"/>
        <v>244.19906534590342</v>
      </c>
      <c r="H64" s="31">
        <f t="shared" si="0"/>
        <v>5128.1803722639715</v>
      </c>
    </row>
    <row r="65" spans="1:8" s="33" customFormat="1" x14ac:dyDescent="0.25">
      <c r="A65" s="20" t="s">
        <v>134</v>
      </c>
      <c r="B65" s="86" t="s">
        <v>207</v>
      </c>
      <c r="C65" s="30" t="s">
        <v>213</v>
      </c>
      <c r="D65" s="23">
        <v>4814</v>
      </c>
      <c r="E65" s="24">
        <f t="shared" si="1"/>
        <v>1.5116292141217442E-2</v>
      </c>
      <c r="F65" s="25">
        <f t="shared" si="2"/>
        <v>1929.8601339164063</v>
      </c>
      <c r="G65" s="31">
        <f t="shared" si="3"/>
        <v>96.493006695820327</v>
      </c>
      <c r="H65" s="31">
        <f t="shared" si="0"/>
        <v>2026.3531406122265</v>
      </c>
    </row>
    <row r="66" spans="1:8" s="33" customFormat="1" x14ac:dyDescent="0.25">
      <c r="A66" s="20" t="s">
        <v>183</v>
      </c>
      <c r="B66" s="86" t="s">
        <v>184</v>
      </c>
      <c r="C66" s="30" t="s">
        <v>185</v>
      </c>
      <c r="D66" s="23">
        <f>6188.23+4126.33</f>
        <v>10314.56</v>
      </c>
      <c r="E66" s="24">
        <f t="shared" si="1"/>
        <v>3.2388430051540462E-2</v>
      </c>
      <c r="F66" s="25">
        <f t="shared" si="2"/>
        <v>4134.9518369108446</v>
      </c>
      <c r="G66" s="31">
        <f>F66*5%</f>
        <v>206.74759184554225</v>
      </c>
      <c r="H66" s="31">
        <f>F66+G66</f>
        <v>4341.6994287563866</v>
      </c>
    </row>
    <row r="67" spans="1:8" s="33" customFormat="1" x14ac:dyDescent="0.25">
      <c r="A67" s="20" t="s">
        <v>137</v>
      </c>
      <c r="B67" s="86" t="s">
        <v>138</v>
      </c>
      <c r="C67" s="30" t="s">
        <v>139</v>
      </c>
      <c r="D67" s="23">
        <v>3476.86</v>
      </c>
      <c r="E67" s="24">
        <f t="shared" si="1"/>
        <v>1.0917580285441063E-2</v>
      </c>
      <c r="F67" s="25">
        <f t="shared" si="2"/>
        <v>1393.8208361463639</v>
      </c>
      <c r="G67" s="31">
        <f t="shared" si="3"/>
        <v>69.6910418073182</v>
      </c>
      <c r="H67" s="31">
        <f t="shared" si="0"/>
        <v>1463.5118779536822</v>
      </c>
    </row>
    <row r="68" spans="1:8" s="33" customFormat="1" x14ac:dyDescent="0.25">
      <c r="A68" s="20" t="s">
        <v>140</v>
      </c>
      <c r="B68" s="29" t="s">
        <v>141</v>
      </c>
      <c r="C68" s="30">
        <v>11884518000151</v>
      </c>
      <c r="D68" s="23">
        <f>81377.44-14717-3314-9239-9403+9177.57+6936-4760</f>
        <v>56058.01</v>
      </c>
      <c r="E68" s="24">
        <f t="shared" si="1"/>
        <v>0.17602601911410237</v>
      </c>
      <c r="F68" s="25">
        <f t="shared" si="2"/>
        <v>22472.812356810809</v>
      </c>
      <c r="G68" s="31">
        <f t="shared" si="3"/>
        <v>1123.6406178405405</v>
      </c>
      <c r="H68" s="31">
        <f t="shared" si="0"/>
        <v>23596.452974651351</v>
      </c>
    </row>
    <row r="69" spans="1:8" customFormat="1" x14ac:dyDescent="0.25">
      <c r="A69" s="34"/>
      <c r="B69" s="35"/>
      <c r="C69" s="36" t="s">
        <v>142</v>
      </c>
      <c r="D69" s="37">
        <f>SUM(D24:D68)</f>
        <v>318464.34000000003</v>
      </c>
      <c r="E69" s="38">
        <f>SUM(E24:E68)</f>
        <v>0.99999999999999978</v>
      </c>
      <c r="F69" s="98">
        <f>SUM(F24:F68)</f>
        <v>127667.56000000003</v>
      </c>
      <c r="G69" s="98">
        <f>SUM(G24:G68)</f>
        <v>6383.3779999999988</v>
      </c>
      <c r="H69" s="99">
        <f>SUM(H24:H68)</f>
        <v>134050.93799999997</v>
      </c>
    </row>
    <row r="70" spans="1:8" customFormat="1" x14ac:dyDescent="0.25">
      <c r="D70" s="44"/>
      <c r="F70" s="41"/>
    </row>
    <row r="71" spans="1:8" customFormat="1" x14ac:dyDescent="0.25">
      <c r="F71" s="41"/>
    </row>
    <row r="72" spans="1:8" customFormat="1" x14ac:dyDescent="0.25">
      <c r="D72" s="44"/>
      <c r="E72" s="41"/>
      <c r="H72" s="42"/>
    </row>
    <row r="73" spans="1:8" customFormat="1" x14ac:dyDescent="0.25">
      <c r="E73" s="41"/>
    </row>
    <row r="74" spans="1:8" customFormat="1" x14ac:dyDescent="0.25"/>
    <row r="75" spans="1:8" customFormat="1" x14ac:dyDescent="0.25"/>
    <row r="76" spans="1:8" customFormat="1" x14ac:dyDescent="0.25"/>
    <row r="77" spans="1:8" customFormat="1" x14ac:dyDescent="0.25">
      <c r="C77" s="44"/>
    </row>
    <row r="78" spans="1:8" customFormat="1" x14ac:dyDescent="0.25"/>
    <row r="79" spans="1:8" customFormat="1" x14ac:dyDescent="0.25"/>
    <row r="80" spans="1:8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spans="1:8" customFormat="1" x14ac:dyDescent="0.25"/>
    <row r="146" spans="1:8" customFormat="1" x14ac:dyDescent="0.25"/>
    <row r="147" spans="1:8" customFormat="1" x14ac:dyDescent="0.25"/>
    <row r="148" spans="1:8" customFormat="1" x14ac:dyDescent="0.25"/>
    <row r="149" spans="1:8" customFormat="1" x14ac:dyDescent="0.25"/>
    <row r="150" spans="1:8" customFormat="1" x14ac:dyDescent="0.25"/>
    <row r="151" spans="1:8" customFormat="1" x14ac:dyDescent="0.25"/>
    <row r="152" spans="1:8" customFormat="1" x14ac:dyDescent="0.25"/>
    <row r="153" spans="1:8" customFormat="1" x14ac:dyDescent="0.25">
      <c r="A153" s="100"/>
      <c r="B153" s="100"/>
      <c r="C153" s="100"/>
      <c r="D153" s="100"/>
      <c r="E153" s="100"/>
    </row>
    <row r="154" spans="1:8" x14ac:dyDescent="0.25">
      <c r="F154"/>
      <c r="G154"/>
      <c r="H154"/>
    </row>
    <row r="155" spans="1:8" x14ac:dyDescent="0.25">
      <c r="F155"/>
      <c r="G155"/>
      <c r="H155"/>
    </row>
    <row r="156" spans="1:8" x14ac:dyDescent="0.25">
      <c r="F156"/>
      <c r="G156"/>
      <c r="H156"/>
    </row>
    <row r="157" spans="1:8" x14ac:dyDescent="0.25">
      <c r="F157"/>
      <c r="G157"/>
      <c r="H157"/>
    </row>
    <row r="158" spans="1:8" x14ac:dyDescent="0.25">
      <c r="F158"/>
      <c r="G158"/>
      <c r="H158"/>
    </row>
    <row r="159" spans="1:8" x14ac:dyDescent="0.25">
      <c r="F159"/>
      <c r="G159"/>
      <c r="H159"/>
    </row>
    <row r="160" spans="1:8" x14ac:dyDescent="0.25">
      <c r="F160"/>
      <c r="G160"/>
      <c r="H160"/>
    </row>
    <row r="161" spans="6:8" x14ac:dyDescent="0.25">
      <c r="F161"/>
      <c r="G161"/>
      <c r="H161"/>
    </row>
    <row r="162" spans="6:8" x14ac:dyDescent="0.25">
      <c r="F162"/>
      <c r="G162"/>
      <c r="H162"/>
    </row>
    <row r="163" spans="6:8" x14ac:dyDescent="0.25">
      <c r="F163"/>
      <c r="G163"/>
      <c r="H163"/>
    </row>
    <row r="164" spans="6:8" x14ac:dyDescent="0.25">
      <c r="F164"/>
      <c r="G164"/>
      <c r="H164"/>
    </row>
    <row r="165" spans="6:8" x14ac:dyDescent="0.25">
      <c r="F165"/>
      <c r="G165"/>
      <c r="H165"/>
    </row>
    <row r="166" spans="6:8" x14ac:dyDescent="0.25">
      <c r="F166"/>
      <c r="G166"/>
      <c r="H166"/>
    </row>
    <row r="167" spans="6:8" x14ac:dyDescent="0.25">
      <c r="F167"/>
      <c r="G167"/>
      <c r="H167"/>
    </row>
    <row r="168" spans="6:8" x14ac:dyDescent="0.25">
      <c r="F168"/>
      <c r="G168"/>
      <c r="H168"/>
    </row>
    <row r="169" spans="6:8" x14ac:dyDescent="0.25">
      <c r="F169"/>
      <c r="G169"/>
      <c r="H169"/>
    </row>
    <row r="170" spans="6:8" x14ac:dyDescent="0.25">
      <c r="F170"/>
      <c r="G170"/>
      <c r="H170"/>
    </row>
    <row r="171" spans="6:8" x14ac:dyDescent="0.25">
      <c r="F171"/>
      <c r="G171"/>
      <c r="H171"/>
    </row>
    <row r="172" spans="6:8" x14ac:dyDescent="0.25">
      <c r="F172"/>
      <c r="G172"/>
      <c r="H172"/>
    </row>
    <row r="173" spans="6:8" x14ac:dyDescent="0.25">
      <c r="F173"/>
      <c r="G173"/>
      <c r="H173"/>
    </row>
    <row r="174" spans="6:8" x14ac:dyDescent="0.25">
      <c r="F174"/>
      <c r="G174"/>
      <c r="H174"/>
    </row>
    <row r="175" spans="6:8" x14ac:dyDescent="0.25">
      <c r="F175"/>
      <c r="G175"/>
      <c r="H175"/>
    </row>
    <row r="176" spans="6:8" x14ac:dyDescent="0.25">
      <c r="F176"/>
      <c r="G176"/>
      <c r="H176"/>
    </row>
    <row r="177" spans="6:8" x14ac:dyDescent="0.25">
      <c r="F177"/>
      <c r="G177"/>
      <c r="H177"/>
    </row>
    <row r="178" spans="6:8" x14ac:dyDescent="0.25">
      <c r="F178"/>
      <c r="G178"/>
      <c r="H178"/>
    </row>
    <row r="179" spans="6:8" x14ac:dyDescent="0.25">
      <c r="F179"/>
      <c r="G179"/>
      <c r="H179"/>
    </row>
    <row r="180" spans="6:8" x14ac:dyDescent="0.25">
      <c r="F180"/>
      <c r="G180"/>
      <c r="H180"/>
    </row>
    <row r="181" spans="6:8" x14ac:dyDescent="0.25">
      <c r="F181"/>
      <c r="G181"/>
      <c r="H181"/>
    </row>
    <row r="182" spans="6:8" x14ac:dyDescent="0.25">
      <c r="F182"/>
      <c r="G182"/>
      <c r="H182"/>
    </row>
    <row r="183" spans="6:8" x14ac:dyDescent="0.25">
      <c r="F183"/>
      <c r="G183"/>
      <c r="H183"/>
    </row>
    <row r="184" spans="6:8" x14ac:dyDescent="0.25">
      <c r="F184"/>
      <c r="G184"/>
      <c r="H184"/>
    </row>
    <row r="185" spans="6:8" x14ac:dyDescent="0.25">
      <c r="F185"/>
      <c r="G185"/>
      <c r="H185"/>
    </row>
    <row r="186" spans="6:8" x14ac:dyDescent="0.25">
      <c r="F186"/>
      <c r="G186"/>
      <c r="H186"/>
    </row>
    <row r="187" spans="6:8" x14ac:dyDescent="0.25">
      <c r="F187"/>
      <c r="G187"/>
      <c r="H187"/>
    </row>
    <row r="188" spans="6:8" x14ac:dyDescent="0.25">
      <c r="F188"/>
      <c r="G188"/>
      <c r="H188"/>
    </row>
    <row r="189" spans="6:8" x14ac:dyDescent="0.25">
      <c r="F189"/>
      <c r="G189"/>
      <c r="H189"/>
    </row>
    <row r="190" spans="6:8" x14ac:dyDescent="0.25">
      <c r="F190"/>
      <c r="G190"/>
      <c r="H190"/>
    </row>
    <row r="191" spans="6:8" x14ac:dyDescent="0.25">
      <c r="F191"/>
      <c r="G191"/>
      <c r="H191"/>
    </row>
    <row r="192" spans="6:8" x14ac:dyDescent="0.25">
      <c r="F192"/>
      <c r="G192"/>
      <c r="H192"/>
    </row>
    <row r="193" spans="6:8" x14ac:dyDescent="0.25">
      <c r="F193"/>
      <c r="G193"/>
      <c r="H193"/>
    </row>
    <row r="194" spans="6:8" x14ac:dyDescent="0.25">
      <c r="F194"/>
      <c r="G194"/>
      <c r="H194"/>
    </row>
    <row r="195" spans="6:8" x14ac:dyDescent="0.25">
      <c r="F195"/>
      <c r="G195"/>
      <c r="H195"/>
    </row>
    <row r="196" spans="6:8" x14ac:dyDescent="0.25">
      <c r="F196"/>
      <c r="G196"/>
      <c r="H196"/>
    </row>
    <row r="197" spans="6:8" x14ac:dyDescent="0.25">
      <c r="F197"/>
      <c r="G197"/>
      <c r="H197"/>
    </row>
    <row r="198" spans="6:8" x14ac:dyDescent="0.25">
      <c r="F198"/>
      <c r="G198"/>
      <c r="H198"/>
    </row>
    <row r="199" spans="6:8" x14ac:dyDescent="0.25">
      <c r="F199"/>
      <c r="G199"/>
      <c r="H199"/>
    </row>
    <row r="200" spans="6:8" x14ac:dyDescent="0.25">
      <c r="F200"/>
      <c r="G200"/>
      <c r="H200"/>
    </row>
    <row r="201" spans="6:8" x14ac:dyDescent="0.25">
      <c r="F201"/>
      <c r="G201"/>
      <c r="H201"/>
    </row>
    <row r="202" spans="6:8" x14ac:dyDescent="0.25">
      <c r="F202"/>
      <c r="G202"/>
      <c r="H202"/>
    </row>
    <row r="203" spans="6:8" x14ac:dyDescent="0.25">
      <c r="F203"/>
      <c r="G203"/>
      <c r="H203"/>
    </row>
    <row r="204" spans="6:8" x14ac:dyDescent="0.25">
      <c r="F204"/>
      <c r="G204"/>
      <c r="H204"/>
    </row>
    <row r="205" spans="6:8" x14ac:dyDescent="0.25">
      <c r="F205"/>
      <c r="G205"/>
      <c r="H205"/>
    </row>
    <row r="206" spans="6:8" x14ac:dyDescent="0.25">
      <c r="F206"/>
      <c r="G206"/>
      <c r="H206"/>
    </row>
    <row r="207" spans="6:8" x14ac:dyDescent="0.25">
      <c r="F207"/>
      <c r="G207"/>
      <c r="H207"/>
    </row>
    <row r="208" spans="6:8" x14ac:dyDescent="0.25">
      <c r="F208"/>
      <c r="G208"/>
      <c r="H208"/>
    </row>
    <row r="209" spans="6:8" x14ac:dyDescent="0.25">
      <c r="F209"/>
      <c r="G209"/>
      <c r="H209"/>
    </row>
    <row r="210" spans="6:8" x14ac:dyDescent="0.25">
      <c r="F210"/>
      <c r="G210"/>
      <c r="H210"/>
    </row>
    <row r="211" spans="6:8" x14ac:dyDescent="0.25">
      <c r="F211"/>
      <c r="G211"/>
      <c r="H211"/>
    </row>
    <row r="212" spans="6:8" x14ac:dyDescent="0.25">
      <c r="F212"/>
      <c r="G212"/>
      <c r="H212"/>
    </row>
    <row r="213" spans="6:8" x14ac:dyDescent="0.25">
      <c r="F213"/>
      <c r="G213"/>
      <c r="H213"/>
    </row>
    <row r="214" spans="6:8" x14ac:dyDescent="0.25">
      <c r="F214"/>
      <c r="G214"/>
      <c r="H214"/>
    </row>
    <row r="215" spans="6:8" x14ac:dyDescent="0.25">
      <c r="F215"/>
      <c r="G215"/>
      <c r="H215"/>
    </row>
    <row r="216" spans="6:8" x14ac:dyDescent="0.25">
      <c r="F216"/>
      <c r="G216"/>
      <c r="H216"/>
    </row>
    <row r="217" spans="6:8" x14ac:dyDescent="0.25">
      <c r="F217"/>
      <c r="G217"/>
      <c r="H217"/>
    </row>
    <row r="218" spans="6:8" x14ac:dyDescent="0.25">
      <c r="F218"/>
      <c r="G218"/>
      <c r="H218"/>
    </row>
    <row r="219" spans="6:8" x14ac:dyDescent="0.25">
      <c r="F219"/>
      <c r="G219"/>
      <c r="H219"/>
    </row>
    <row r="220" spans="6:8" x14ac:dyDescent="0.25">
      <c r="F220"/>
      <c r="G220"/>
      <c r="H220"/>
    </row>
    <row r="221" spans="6:8" x14ac:dyDescent="0.25">
      <c r="F221"/>
      <c r="G221"/>
      <c r="H221"/>
    </row>
    <row r="222" spans="6:8" x14ac:dyDescent="0.25">
      <c r="F222"/>
      <c r="G222"/>
      <c r="H222"/>
    </row>
    <row r="223" spans="6:8" x14ac:dyDescent="0.25">
      <c r="F223"/>
      <c r="G223"/>
      <c r="H223"/>
    </row>
    <row r="224" spans="6:8" x14ac:dyDescent="0.25">
      <c r="F224"/>
      <c r="G224"/>
      <c r="H224"/>
    </row>
    <row r="225" spans="6:8" x14ac:dyDescent="0.25">
      <c r="F225"/>
      <c r="G225"/>
      <c r="H225"/>
    </row>
    <row r="226" spans="6:8" x14ac:dyDescent="0.25">
      <c r="F226"/>
      <c r="G226"/>
      <c r="H226"/>
    </row>
    <row r="227" spans="6:8" x14ac:dyDescent="0.25">
      <c r="F227"/>
      <c r="G227"/>
      <c r="H227"/>
    </row>
    <row r="228" spans="6:8" x14ac:dyDescent="0.25">
      <c r="F228"/>
      <c r="G228"/>
      <c r="H228"/>
    </row>
    <row r="229" spans="6:8" x14ac:dyDescent="0.25">
      <c r="F229"/>
      <c r="G229"/>
      <c r="H229"/>
    </row>
    <row r="230" spans="6:8" x14ac:dyDescent="0.25">
      <c r="F230"/>
      <c r="G230"/>
      <c r="H230"/>
    </row>
    <row r="231" spans="6:8" x14ac:dyDescent="0.25">
      <c r="F231"/>
      <c r="G231"/>
      <c r="H231"/>
    </row>
    <row r="232" spans="6:8" x14ac:dyDescent="0.25">
      <c r="F232"/>
      <c r="G232"/>
      <c r="H232"/>
    </row>
    <row r="233" spans="6:8" x14ac:dyDescent="0.25">
      <c r="F233"/>
      <c r="G233"/>
      <c r="H233"/>
    </row>
    <row r="234" spans="6:8" x14ac:dyDescent="0.25">
      <c r="F234"/>
      <c r="G234"/>
      <c r="H234"/>
    </row>
    <row r="235" spans="6:8" x14ac:dyDescent="0.25">
      <c r="G235"/>
      <c r="H235"/>
    </row>
  </sheetData>
  <autoFilter ref="A23:L69" xr:uid="{EF89F69C-AE2D-4213-8B8C-FE31A3656908}"/>
  <mergeCells count="1">
    <mergeCell ref="B1:G1"/>
  </mergeCells>
  <pageMargins left="0.511811024" right="0.511811024" top="0.78740157499999996" bottom="0.78740157499999996" header="0.31496062000000002" footer="0.3149606200000000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F6DC9-C497-4AD3-AF51-FC4EFD6384AA}">
  <dimension ref="A1:L234"/>
  <sheetViews>
    <sheetView topLeftCell="A38" zoomScaleNormal="100" workbookViewId="0">
      <selection activeCell="F5" sqref="F5"/>
    </sheetView>
  </sheetViews>
  <sheetFormatPr defaultColWidth="9.140625" defaultRowHeight="15" x14ac:dyDescent="0.25"/>
  <cols>
    <col min="1" max="1" width="29.5703125" style="100" customWidth="1"/>
    <col min="2" max="2" width="45.28515625" style="100" customWidth="1"/>
    <col min="3" max="3" width="29.7109375" style="100" customWidth="1"/>
    <col min="4" max="4" width="21.42578125" style="100" customWidth="1"/>
    <col min="5" max="5" width="17.42578125" style="100" customWidth="1"/>
    <col min="6" max="6" width="16.42578125" style="100" customWidth="1"/>
    <col min="7" max="7" width="17.140625" style="100" customWidth="1"/>
    <col min="8" max="8" width="16.85546875" style="100" bestFit="1" customWidth="1"/>
    <col min="9" max="9" width="44.140625" style="100" bestFit="1" customWidth="1"/>
    <col min="10" max="10" width="15.42578125" style="100" bestFit="1" customWidth="1"/>
    <col min="11" max="16384" width="9.140625" style="100"/>
  </cols>
  <sheetData>
    <row r="1" spans="1:8" customFormat="1" ht="21.75" customHeight="1" x14ac:dyDescent="0.25">
      <c r="A1" s="87"/>
      <c r="B1" s="118" t="s">
        <v>0</v>
      </c>
      <c r="C1" s="119"/>
      <c r="D1" s="119"/>
      <c r="E1" s="119"/>
      <c r="F1" s="119"/>
      <c r="G1" s="120"/>
      <c r="H1" s="88"/>
    </row>
    <row r="2" spans="1:8" customFormat="1" ht="30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3"/>
      <c r="F2" s="4" t="s">
        <v>5</v>
      </c>
      <c r="G2" s="89"/>
      <c r="H2" s="6"/>
    </row>
    <row r="3" spans="1:8" customFormat="1" ht="30.6" customHeight="1" x14ac:dyDescent="0.25">
      <c r="A3" s="7">
        <v>1</v>
      </c>
      <c r="B3" s="8" t="s">
        <v>6</v>
      </c>
      <c r="C3" s="8"/>
      <c r="D3" s="9">
        <v>45962</v>
      </c>
      <c r="E3" s="9"/>
      <c r="F3" s="10">
        <f>548.46+566.29+5000</f>
        <v>6114.75</v>
      </c>
      <c r="G3" s="89"/>
      <c r="H3" s="6"/>
    </row>
    <row r="4" spans="1:8" customFormat="1" ht="30.6" customHeight="1" x14ac:dyDescent="0.25">
      <c r="A4" s="7">
        <v>2</v>
      </c>
      <c r="B4" s="8" t="s">
        <v>8</v>
      </c>
      <c r="C4" s="8" t="s">
        <v>9</v>
      </c>
      <c r="D4" s="9">
        <v>45962</v>
      </c>
      <c r="E4" s="9"/>
      <c r="F4" s="10">
        <v>39590</v>
      </c>
      <c r="G4" s="89"/>
      <c r="H4" s="11"/>
    </row>
    <row r="5" spans="1:8" customFormat="1" ht="30.6" customHeight="1" x14ac:dyDescent="0.25">
      <c r="A5" s="7">
        <v>3</v>
      </c>
      <c r="B5" s="8" t="s">
        <v>10</v>
      </c>
      <c r="C5" s="12" t="s">
        <v>11</v>
      </c>
      <c r="D5" s="9">
        <v>45962</v>
      </c>
      <c r="E5" s="9"/>
      <c r="F5" s="10">
        <f>40624.8</f>
        <v>40624.800000000003</v>
      </c>
      <c r="G5" s="89"/>
      <c r="H5" s="11"/>
    </row>
    <row r="6" spans="1:8" customFormat="1" ht="30.6" customHeight="1" x14ac:dyDescent="0.25">
      <c r="A6" s="7">
        <v>4</v>
      </c>
      <c r="B6" s="8" t="s">
        <v>189</v>
      </c>
      <c r="C6" s="12" t="s">
        <v>190</v>
      </c>
      <c r="D6" s="9">
        <v>45962</v>
      </c>
      <c r="E6" s="9"/>
      <c r="F6" s="10">
        <f>24000+3600</f>
        <v>27600</v>
      </c>
      <c r="G6" s="89"/>
      <c r="H6" s="11"/>
    </row>
    <row r="7" spans="1:8" customFormat="1" ht="30.6" customHeight="1" x14ac:dyDescent="0.25">
      <c r="A7" s="7">
        <v>5</v>
      </c>
      <c r="B7" s="8" t="s">
        <v>191</v>
      </c>
      <c r="C7" s="8"/>
      <c r="D7" s="9">
        <v>45962</v>
      </c>
      <c r="E7" s="9"/>
      <c r="F7" s="10">
        <v>300</v>
      </c>
      <c r="G7" s="89"/>
      <c r="H7" s="6"/>
    </row>
    <row r="8" spans="1:8" customFormat="1" ht="30.6" customHeight="1" x14ac:dyDescent="0.25">
      <c r="A8" s="7">
        <v>6</v>
      </c>
      <c r="B8" s="8" t="s">
        <v>12</v>
      </c>
      <c r="C8" s="8"/>
      <c r="D8" s="9">
        <v>45962</v>
      </c>
      <c r="E8" s="9"/>
      <c r="F8" s="10">
        <v>436.2</v>
      </c>
      <c r="G8" s="89"/>
      <c r="H8" s="6"/>
    </row>
    <row r="9" spans="1:8" customFormat="1" ht="30.6" customHeight="1" x14ac:dyDescent="0.25">
      <c r="A9" s="7">
        <v>7</v>
      </c>
      <c r="B9" s="8" t="s">
        <v>13</v>
      </c>
      <c r="C9" s="8" t="s">
        <v>14</v>
      </c>
      <c r="D9" s="9">
        <v>45962</v>
      </c>
      <c r="E9" s="9"/>
      <c r="F9" s="13">
        <v>1518</v>
      </c>
      <c r="G9" s="89"/>
      <c r="H9" s="6"/>
    </row>
    <row r="10" spans="1:8" customFormat="1" ht="30.6" customHeight="1" x14ac:dyDescent="0.25">
      <c r="A10" s="7">
        <v>8</v>
      </c>
      <c r="B10" s="8" t="s">
        <v>15</v>
      </c>
      <c r="C10" s="8" t="s">
        <v>16</v>
      </c>
      <c r="D10" s="9">
        <v>45962</v>
      </c>
      <c r="E10" s="9"/>
      <c r="F10" s="13">
        <v>2500</v>
      </c>
      <c r="G10" s="89"/>
      <c r="H10" s="6"/>
    </row>
    <row r="11" spans="1:8" customFormat="1" ht="34.5" customHeight="1" x14ac:dyDescent="0.25">
      <c r="A11" s="7">
        <v>9</v>
      </c>
      <c r="B11" s="14" t="s">
        <v>17</v>
      </c>
      <c r="C11" s="12" t="s">
        <v>18</v>
      </c>
      <c r="D11" s="9">
        <v>45962</v>
      </c>
      <c r="E11" s="9"/>
      <c r="F11" s="13">
        <v>1274</v>
      </c>
      <c r="G11" s="89"/>
      <c r="H11" s="6"/>
    </row>
    <row r="12" spans="1:8" customFormat="1" ht="30.6" customHeight="1" x14ac:dyDescent="0.25">
      <c r="A12" s="7">
        <v>10</v>
      </c>
      <c r="B12" s="14" t="s">
        <v>19</v>
      </c>
      <c r="C12" s="14" t="s">
        <v>20</v>
      </c>
      <c r="D12" s="9">
        <v>45962</v>
      </c>
      <c r="E12" s="9"/>
      <c r="F12" s="13">
        <v>227.24</v>
      </c>
      <c r="G12" s="89"/>
      <c r="H12" s="6"/>
    </row>
    <row r="13" spans="1:8" customFormat="1" ht="30.6" customHeight="1" x14ac:dyDescent="0.25">
      <c r="A13" s="7">
        <v>11</v>
      </c>
      <c r="B13" s="14" t="s">
        <v>149</v>
      </c>
      <c r="C13" s="14" t="s">
        <v>150</v>
      </c>
      <c r="D13" s="9">
        <v>45962</v>
      </c>
      <c r="E13" s="9"/>
      <c r="F13" s="13">
        <v>149.9</v>
      </c>
      <c r="G13" s="89"/>
      <c r="H13" s="6"/>
    </row>
    <row r="14" spans="1:8" customFormat="1" ht="30.6" customHeight="1" x14ac:dyDescent="0.25">
      <c r="A14" s="7">
        <v>12</v>
      </c>
      <c r="B14" s="14" t="s">
        <v>21</v>
      </c>
      <c r="C14" s="12" t="s">
        <v>22</v>
      </c>
      <c r="D14" s="9">
        <v>45962</v>
      </c>
      <c r="E14" s="9"/>
      <c r="F14" s="13">
        <v>539</v>
      </c>
      <c r="G14" s="89"/>
      <c r="H14" s="15"/>
    </row>
    <row r="15" spans="1:8" customFormat="1" ht="30.6" customHeight="1" x14ac:dyDescent="0.25">
      <c r="A15" s="7">
        <v>13</v>
      </c>
      <c r="B15" s="14" t="s">
        <v>23</v>
      </c>
      <c r="C15" s="8"/>
      <c r="D15" s="9">
        <v>45962</v>
      </c>
      <c r="E15" s="9"/>
      <c r="F15" s="13"/>
      <c r="G15" s="89"/>
      <c r="H15" s="6"/>
    </row>
    <row r="16" spans="1:8" customFormat="1" ht="31.5" customHeight="1" x14ac:dyDescent="0.25">
      <c r="A16" s="7">
        <v>14</v>
      </c>
      <c r="B16" s="14" t="s">
        <v>24</v>
      </c>
      <c r="C16" s="12" t="s">
        <v>25</v>
      </c>
      <c r="D16" s="9">
        <v>45962</v>
      </c>
      <c r="E16" s="9"/>
      <c r="F16" s="13">
        <v>248.7</v>
      </c>
      <c r="G16" s="89"/>
      <c r="H16" s="6"/>
    </row>
    <row r="17" spans="1:12" customFormat="1" ht="31.5" customHeight="1" x14ac:dyDescent="0.25">
      <c r="A17" s="7">
        <v>15</v>
      </c>
      <c r="B17" s="14" t="s">
        <v>208</v>
      </c>
      <c r="C17" s="12" t="s">
        <v>209</v>
      </c>
      <c r="D17" s="9">
        <v>45962</v>
      </c>
      <c r="E17" s="9"/>
      <c r="F17" s="13">
        <v>917.71</v>
      </c>
      <c r="G17" s="89"/>
      <c r="H17" s="6"/>
    </row>
    <row r="18" spans="1:12" customFormat="1" ht="42" customHeight="1" x14ac:dyDescent="0.25">
      <c r="A18" s="90"/>
      <c r="B18" s="91" t="s">
        <v>31</v>
      </c>
      <c r="C18" s="92"/>
      <c r="D18" s="2"/>
      <c r="E18" s="93"/>
      <c r="F18" s="94">
        <f>SUM(F3:F17)</f>
        <v>122040.3</v>
      </c>
      <c r="G18" s="95"/>
      <c r="H18" s="6"/>
    </row>
    <row r="19" spans="1:12" customFormat="1" ht="21.75" customHeight="1" x14ac:dyDescent="0.25">
      <c r="A19" s="17" t="s">
        <v>32</v>
      </c>
      <c r="B19" s="17" t="s">
        <v>33</v>
      </c>
      <c r="C19" s="96" t="s">
        <v>34</v>
      </c>
      <c r="D19" s="17" t="s">
        <v>35</v>
      </c>
      <c r="E19" s="17" t="s">
        <v>36</v>
      </c>
      <c r="F19" s="17" t="s">
        <v>37</v>
      </c>
      <c r="G19" s="97" t="s">
        <v>38</v>
      </c>
      <c r="H19" s="96" t="s">
        <v>39</v>
      </c>
    </row>
    <row r="20" spans="1:12" s="27" customFormat="1" ht="15" customHeight="1" x14ac:dyDescent="0.25">
      <c r="A20" s="20" t="s">
        <v>40</v>
      </c>
      <c r="B20" s="21" t="s">
        <v>41</v>
      </c>
      <c r="C20" s="22" t="s">
        <v>42</v>
      </c>
      <c r="D20" s="23">
        <v>4016</v>
      </c>
      <c r="E20" s="24">
        <f>D20/$D$68</f>
        <v>1.261051708332556E-2</v>
      </c>
      <c r="F20" s="25">
        <f>$F$18*E20</f>
        <v>1538.9912880041763</v>
      </c>
      <c r="G20" s="26">
        <f>F20*5%</f>
        <v>76.949564400208828</v>
      </c>
      <c r="H20" s="26">
        <f t="shared" ref="H20:H67" si="0">F20+G20</f>
        <v>1615.9408524043852</v>
      </c>
    </row>
    <row r="21" spans="1:12" customFormat="1" x14ac:dyDescent="0.25">
      <c r="A21" s="20" t="s">
        <v>43</v>
      </c>
      <c r="B21" s="28" t="s">
        <v>44</v>
      </c>
      <c r="C21" s="22">
        <v>18778225000139</v>
      </c>
      <c r="D21" s="23">
        <v>8711.2199999999993</v>
      </c>
      <c r="E21" s="24">
        <f t="shared" ref="E21:E67" si="1">D21/$D$68</f>
        <v>2.7353831829334482E-2</v>
      </c>
      <c r="F21" s="25">
        <f t="shared" ref="F21:F67" si="2">$F$18*E21</f>
        <v>3338.269842601529</v>
      </c>
      <c r="G21" s="26">
        <f t="shared" ref="G21:G67" si="3">F21*5%</f>
        <v>166.91349213007646</v>
      </c>
      <c r="H21" s="26">
        <f t="shared" si="0"/>
        <v>3505.1833347316056</v>
      </c>
    </row>
    <row r="22" spans="1:12" customFormat="1" x14ac:dyDescent="0.25">
      <c r="A22" s="20" t="s">
        <v>45</v>
      </c>
      <c r="B22" s="28" t="s">
        <v>46</v>
      </c>
      <c r="C22" s="22">
        <v>41993875000119</v>
      </c>
      <c r="D22" s="23">
        <v>3641.8</v>
      </c>
      <c r="E22" s="24">
        <f t="shared" si="1"/>
        <v>1.143550326545195E-2</v>
      </c>
      <c r="F22" s="25">
        <f t="shared" si="2"/>
        <v>1395.5922491667357</v>
      </c>
      <c r="G22" s="26">
        <f t="shared" si="3"/>
        <v>69.779612458336786</v>
      </c>
      <c r="H22" s="26">
        <f t="shared" si="0"/>
        <v>1465.3718616250724</v>
      </c>
    </row>
    <row r="23" spans="1:12" customFormat="1" x14ac:dyDescent="0.25">
      <c r="A23" s="20" t="s">
        <v>47</v>
      </c>
      <c r="B23" s="21" t="s">
        <v>48</v>
      </c>
      <c r="C23" s="22">
        <v>24781302000102</v>
      </c>
      <c r="D23" s="23">
        <v>3430</v>
      </c>
      <c r="E23" s="24">
        <f t="shared" si="1"/>
        <v>1.07704366523423E-2</v>
      </c>
      <c r="F23" s="25">
        <f t="shared" si="2"/>
        <v>1314.4273201828501</v>
      </c>
      <c r="G23" s="26">
        <f t="shared" si="3"/>
        <v>65.7213660091425</v>
      </c>
      <c r="H23" s="26">
        <f t="shared" si="0"/>
        <v>1380.1486861919925</v>
      </c>
    </row>
    <row r="24" spans="1:12" customFormat="1" x14ac:dyDescent="0.25">
      <c r="A24" s="20" t="s">
        <v>161</v>
      </c>
      <c r="B24" s="21" t="s">
        <v>162</v>
      </c>
      <c r="C24" s="22" t="s">
        <v>163</v>
      </c>
      <c r="D24" s="23">
        <v>9403</v>
      </c>
      <c r="E24" s="24">
        <f t="shared" si="1"/>
        <v>2.9526068758593187E-2</v>
      </c>
      <c r="F24" s="25">
        <f t="shared" si="2"/>
        <v>3603.3702891193402</v>
      </c>
      <c r="G24" s="26">
        <f t="shared" si="3"/>
        <v>180.16851445596703</v>
      </c>
      <c r="H24" s="26">
        <f t="shared" si="0"/>
        <v>3783.5388035753072</v>
      </c>
    </row>
    <row r="25" spans="1:12" customFormat="1" x14ac:dyDescent="0.25">
      <c r="A25" s="20" t="s">
        <v>49</v>
      </c>
      <c r="B25" s="21" t="s">
        <v>50</v>
      </c>
      <c r="C25" s="22">
        <v>38649716000197</v>
      </c>
      <c r="D25" s="23">
        <v>3440</v>
      </c>
      <c r="E25" s="24">
        <f t="shared" si="1"/>
        <v>1.0801837342290819E-2</v>
      </c>
      <c r="F25" s="25">
        <f t="shared" si="2"/>
        <v>1318.2594698043742</v>
      </c>
      <c r="G25" s="26">
        <f t="shared" si="3"/>
        <v>65.912973490218718</v>
      </c>
      <c r="H25" s="26">
        <f t="shared" si="0"/>
        <v>1384.172443294593</v>
      </c>
    </row>
    <row r="26" spans="1:12" customFormat="1" x14ac:dyDescent="0.25">
      <c r="A26" s="20" t="s">
        <v>51</v>
      </c>
      <c r="B26" s="21" t="s">
        <v>52</v>
      </c>
      <c r="C26" s="22" t="s">
        <v>53</v>
      </c>
      <c r="D26" s="23">
        <v>4056</v>
      </c>
      <c r="E26" s="24">
        <f t="shared" si="1"/>
        <v>1.2736119843119641E-2</v>
      </c>
      <c r="F26" s="25">
        <f t="shared" si="2"/>
        <v>1554.319886490274</v>
      </c>
      <c r="G26" s="26">
        <f t="shared" si="3"/>
        <v>77.715994324513701</v>
      </c>
      <c r="H26" s="26">
        <f t="shared" si="0"/>
        <v>1632.0358808147878</v>
      </c>
    </row>
    <row r="27" spans="1:12" customFormat="1" x14ac:dyDescent="0.25">
      <c r="A27" s="20" t="s">
        <v>54</v>
      </c>
      <c r="B27" s="21" t="s">
        <v>55</v>
      </c>
      <c r="C27" s="22" t="s">
        <v>56</v>
      </c>
      <c r="D27" s="23">
        <v>11580</v>
      </c>
      <c r="E27" s="24">
        <f t="shared" si="1"/>
        <v>3.6361998960385951E-2</v>
      </c>
      <c r="F27" s="25">
        <f t="shared" si="2"/>
        <v>4437.6292617251893</v>
      </c>
      <c r="G27" s="26">
        <f t="shared" si="3"/>
        <v>221.88146308625949</v>
      </c>
      <c r="H27" s="26">
        <f t="shared" si="0"/>
        <v>4659.5107248114491</v>
      </c>
    </row>
    <row r="28" spans="1:12" customFormat="1" x14ac:dyDescent="0.25">
      <c r="A28" s="20" t="s">
        <v>57</v>
      </c>
      <c r="B28" s="21" t="s">
        <v>58</v>
      </c>
      <c r="C28" s="22" t="s">
        <v>178</v>
      </c>
      <c r="D28" s="23">
        <f>360+360+1510</f>
        <v>2230</v>
      </c>
      <c r="E28" s="24">
        <f t="shared" si="1"/>
        <v>7.0023538585199203E-3</v>
      </c>
      <c r="F28" s="25">
        <f t="shared" si="2"/>
        <v>854.56936559992869</v>
      </c>
      <c r="G28" s="26">
        <f t="shared" si="3"/>
        <v>42.728468279996434</v>
      </c>
      <c r="H28" s="26">
        <f t="shared" si="0"/>
        <v>897.29783387992507</v>
      </c>
    </row>
    <row r="29" spans="1:12" s="33" customFormat="1" ht="15.75" customHeight="1" x14ac:dyDescent="0.25">
      <c r="A29" s="20" t="s">
        <v>60</v>
      </c>
      <c r="B29" s="29" t="s">
        <v>61</v>
      </c>
      <c r="C29" s="30" t="s">
        <v>62</v>
      </c>
      <c r="D29" s="23">
        <f>5224+3930</f>
        <v>9154</v>
      </c>
      <c r="E29" s="24">
        <f t="shared" si="1"/>
        <v>2.8744191578875044E-2</v>
      </c>
      <c r="F29" s="25">
        <f t="shared" si="2"/>
        <v>3507.9497635433841</v>
      </c>
      <c r="G29" s="26">
        <f t="shared" si="3"/>
        <v>175.39748817716921</v>
      </c>
      <c r="H29" s="26">
        <f t="shared" si="0"/>
        <v>3683.3472517205532</v>
      </c>
      <c r="I29" s="32" t="s">
        <v>63</v>
      </c>
      <c r="L29" s="33" t="s">
        <v>64</v>
      </c>
    </row>
    <row r="30" spans="1:12" customFormat="1" ht="15.75" customHeight="1" x14ac:dyDescent="0.25">
      <c r="A30" s="20" t="s">
        <v>65</v>
      </c>
      <c r="B30" s="28" t="s">
        <v>66</v>
      </c>
      <c r="C30" s="22" t="s">
        <v>67</v>
      </c>
      <c r="D30" s="23">
        <v>2610</v>
      </c>
      <c r="E30" s="24">
        <f t="shared" si="1"/>
        <v>8.195580076563673E-3</v>
      </c>
      <c r="F30" s="25">
        <f t="shared" si="2"/>
        <v>1000.1910512178537</v>
      </c>
      <c r="G30" s="26">
        <f t="shared" si="3"/>
        <v>50.009552560892686</v>
      </c>
      <c r="H30" s="26">
        <f t="shared" si="0"/>
        <v>1050.2006037787464</v>
      </c>
    </row>
    <row r="31" spans="1:12" customFormat="1" ht="15.75" customHeight="1" x14ac:dyDescent="0.25">
      <c r="A31" s="20" t="s">
        <v>68</v>
      </c>
      <c r="B31" s="28" t="s">
        <v>69</v>
      </c>
      <c r="C31" s="22" t="s">
        <v>70</v>
      </c>
      <c r="D31" s="23">
        <v>5515</v>
      </c>
      <c r="E31" s="24">
        <f t="shared" si="1"/>
        <v>1.7317480506608682E-2</v>
      </c>
      <c r="F31" s="25">
        <f t="shared" si="2"/>
        <v>2113.4305162706755</v>
      </c>
      <c r="G31" s="26">
        <f t="shared" si="3"/>
        <v>105.67152581353378</v>
      </c>
      <c r="H31" s="26">
        <f t="shared" si="0"/>
        <v>2219.1020420842092</v>
      </c>
    </row>
    <row r="32" spans="1:12" customFormat="1" ht="15.75" customHeight="1" x14ac:dyDescent="0.25">
      <c r="A32" s="20" t="s">
        <v>71</v>
      </c>
      <c r="B32" s="21" t="s">
        <v>72</v>
      </c>
      <c r="C32" s="22">
        <v>17202383000183</v>
      </c>
      <c r="D32" s="23">
        <v>15332</v>
      </c>
      <c r="E32" s="24">
        <f t="shared" si="1"/>
        <v>4.814353782907059E-2</v>
      </c>
      <c r="F32" s="25">
        <f t="shared" si="2"/>
        <v>5875.4517997211233</v>
      </c>
      <c r="G32" s="26">
        <f t="shared" si="3"/>
        <v>293.77258998605618</v>
      </c>
      <c r="H32" s="26">
        <f t="shared" si="0"/>
        <v>6169.2243897071794</v>
      </c>
    </row>
    <row r="33" spans="1:12" customFormat="1" ht="15.75" customHeight="1" x14ac:dyDescent="0.25">
      <c r="A33" s="20" t="s">
        <v>73</v>
      </c>
      <c r="B33" s="21" t="s">
        <v>74</v>
      </c>
      <c r="C33" s="22">
        <v>18183488000103</v>
      </c>
      <c r="D33" s="23">
        <v>7238</v>
      </c>
      <c r="E33" s="24">
        <f t="shared" si="1"/>
        <v>2.2727819384738647E-2</v>
      </c>
      <c r="F33" s="25">
        <f t="shared" si="2"/>
        <v>2773.7098960593198</v>
      </c>
      <c r="G33" s="26">
        <f t="shared" si="3"/>
        <v>138.68549480296599</v>
      </c>
      <c r="H33" s="26">
        <f t="shared" si="0"/>
        <v>2912.3953908622857</v>
      </c>
    </row>
    <row r="34" spans="1:12" customFormat="1" x14ac:dyDescent="0.25">
      <c r="A34" s="20" t="s">
        <v>75</v>
      </c>
      <c r="B34" s="21" t="s">
        <v>76</v>
      </c>
      <c r="C34" s="22">
        <v>18244070000150</v>
      </c>
      <c r="D34" s="23">
        <v>5941</v>
      </c>
      <c r="E34" s="24">
        <f t="shared" si="1"/>
        <v>1.8655149898415626E-2</v>
      </c>
      <c r="F34" s="25">
        <f t="shared" si="2"/>
        <v>2276.6800901476126</v>
      </c>
      <c r="G34" s="26">
        <f t="shared" si="3"/>
        <v>113.83400450738064</v>
      </c>
      <c r="H34" s="26">
        <f t="shared" si="0"/>
        <v>2390.5140946549932</v>
      </c>
    </row>
    <row r="35" spans="1:12" customFormat="1" x14ac:dyDescent="0.25">
      <c r="A35" s="20" t="s">
        <v>77</v>
      </c>
      <c r="B35" s="21" t="s">
        <v>78</v>
      </c>
      <c r="C35" s="22">
        <v>18244039000110</v>
      </c>
      <c r="D35" s="23">
        <v>4460</v>
      </c>
      <c r="E35" s="24">
        <f t="shared" si="1"/>
        <v>1.4004707717039841E-2</v>
      </c>
      <c r="F35" s="25">
        <f t="shared" si="2"/>
        <v>1709.1387311998574</v>
      </c>
      <c r="G35" s="26">
        <f t="shared" si="3"/>
        <v>85.456936559992869</v>
      </c>
      <c r="H35" s="26">
        <f t="shared" si="0"/>
        <v>1794.5956677598501</v>
      </c>
    </row>
    <row r="36" spans="1:12" customFormat="1" x14ac:dyDescent="0.25">
      <c r="A36" s="20" t="s">
        <v>79</v>
      </c>
      <c r="B36" s="21" t="s">
        <v>153</v>
      </c>
      <c r="C36" s="22" t="s">
        <v>154</v>
      </c>
      <c r="D36" s="23">
        <v>4415</v>
      </c>
      <c r="E36" s="24">
        <f t="shared" si="1"/>
        <v>1.3863404612271502E-2</v>
      </c>
      <c r="F36" s="25">
        <f t="shared" si="2"/>
        <v>1691.8940579029977</v>
      </c>
      <c r="G36" s="26">
        <f t="shared" si="3"/>
        <v>84.594702895149894</v>
      </c>
      <c r="H36" s="26">
        <f t="shared" si="0"/>
        <v>1776.4887607981475</v>
      </c>
    </row>
    <row r="37" spans="1:12" customFormat="1" x14ac:dyDescent="0.25">
      <c r="A37" s="20" t="s">
        <v>219</v>
      </c>
      <c r="B37" s="21" t="s">
        <v>220</v>
      </c>
      <c r="C37" s="22"/>
      <c r="D37" s="23">
        <v>4760</v>
      </c>
      <c r="E37" s="24">
        <f t="shared" si="1"/>
        <v>1.4946728415495436E-2</v>
      </c>
      <c r="F37" s="25">
        <f>$F$18*E37</f>
        <v>1824.1032198455878</v>
      </c>
      <c r="G37" s="26">
        <f>F37*5%</f>
        <v>91.205160992279389</v>
      </c>
      <c r="H37" s="26">
        <f t="shared" si="0"/>
        <v>1915.3083808378672</v>
      </c>
    </row>
    <row r="38" spans="1:12" customFormat="1" x14ac:dyDescent="0.25">
      <c r="A38" s="20" t="s">
        <v>219</v>
      </c>
      <c r="B38" s="21" t="s">
        <v>221</v>
      </c>
      <c r="C38" s="22"/>
      <c r="D38" s="23">
        <v>4593</v>
      </c>
      <c r="E38" s="24">
        <f t="shared" si="1"/>
        <v>1.4422336893355155E-2</v>
      </c>
      <c r="F38" s="25">
        <f t="shared" si="2"/>
        <v>1760.106321166131</v>
      </c>
      <c r="G38" s="26">
        <f t="shared" si="3"/>
        <v>88.005316058306562</v>
      </c>
      <c r="H38" s="26">
        <f t="shared" si="0"/>
        <v>1848.1116372244376</v>
      </c>
    </row>
    <row r="39" spans="1:12" customFormat="1" x14ac:dyDescent="0.25">
      <c r="A39" s="20" t="s">
        <v>81</v>
      </c>
      <c r="B39" s="21" t="s">
        <v>82</v>
      </c>
      <c r="C39" s="22" t="s">
        <v>83</v>
      </c>
      <c r="D39" s="23">
        <v>8673</v>
      </c>
      <c r="E39" s="24">
        <f t="shared" si="1"/>
        <v>2.7233818392351242E-2</v>
      </c>
      <c r="F39" s="25">
        <f t="shared" si="2"/>
        <v>3323.6233667480633</v>
      </c>
      <c r="G39" s="26">
        <f t="shared" si="3"/>
        <v>166.18116833740316</v>
      </c>
      <c r="H39" s="26">
        <f t="shared" si="0"/>
        <v>3489.8045350854663</v>
      </c>
    </row>
    <row r="40" spans="1:12" customFormat="1" x14ac:dyDescent="0.25">
      <c r="A40" s="20" t="s">
        <v>84</v>
      </c>
      <c r="B40" s="21" t="s">
        <v>155</v>
      </c>
      <c r="C40" s="22" t="s">
        <v>86</v>
      </c>
      <c r="D40" s="23">
        <v>9239</v>
      </c>
      <c r="E40" s="24">
        <f t="shared" si="1"/>
        <v>2.9011097443437463E-2</v>
      </c>
      <c r="F40" s="25">
        <f t="shared" si="2"/>
        <v>3540.523035326341</v>
      </c>
      <c r="G40" s="26">
        <f t="shared" si="3"/>
        <v>177.02615176631707</v>
      </c>
      <c r="H40" s="26">
        <f t="shared" si="0"/>
        <v>3717.549187092658</v>
      </c>
    </row>
    <row r="41" spans="1:12" customFormat="1" x14ac:dyDescent="0.25">
      <c r="A41" s="20" t="s">
        <v>87</v>
      </c>
      <c r="B41" s="21" t="s">
        <v>88</v>
      </c>
      <c r="C41" s="22" t="s">
        <v>89</v>
      </c>
      <c r="D41" s="23">
        <v>4892</v>
      </c>
      <c r="E41" s="24">
        <f t="shared" si="1"/>
        <v>1.5361217522815896E-2</v>
      </c>
      <c r="F41" s="25">
        <f t="shared" si="2"/>
        <v>1874.6875948497088</v>
      </c>
      <c r="G41" s="26">
        <f t="shared" si="3"/>
        <v>93.734379742485444</v>
      </c>
      <c r="H41" s="26">
        <f t="shared" si="0"/>
        <v>1968.4219745921944</v>
      </c>
    </row>
    <row r="42" spans="1:12" customFormat="1" x14ac:dyDescent="0.25">
      <c r="A42" s="20" t="s">
        <v>90</v>
      </c>
      <c r="B42" s="21" t="s">
        <v>91</v>
      </c>
      <c r="C42" s="22">
        <v>41497649000147</v>
      </c>
      <c r="D42" s="23">
        <v>2526</v>
      </c>
      <c r="E42" s="24">
        <f t="shared" si="1"/>
        <v>7.9318142809961072E-3</v>
      </c>
      <c r="F42" s="25">
        <f t="shared" si="2"/>
        <v>968.00099439704923</v>
      </c>
      <c r="G42" s="26">
        <f t="shared" si="3"/>
        <v>48.400049719852461</v>
      </c>
      <c r="H42" s="26">
        <f t="shared" si="0"/>
        <v>1016.4010441169016</v>
      </c>
    </row>
    <row r="43" spans="1:12" customFormat="1" x14ac:dyDescent="0.25">
      <c r="A43" s="20" t="s">
        <v>92</v>
      </c>
      <c r="B43" s="21" t="s">
        <v>93</v>
      </c>
      <c r="C43" s="22">
        <v>40580071000125</v>
      </c>
      <c r="D43" s="23">
        <v>3600</v>
      </c>
      <c r="E43" s="24">
        <f t="shared" si="1"/>
        <v>1.1304248381467137E-2</v>
      </c>
      <c r="F43" s="25">
        <f t="shared" si="2"/>
        <v>1379.5738637487639</v>
      </c>
      <c r="G43" s="26">
        <f t="shared" si="3"/>
        <v>68.978693187438196</v>
      </c>
      <c r="H43" s="26">
        <f t="shared" si="0"/>
        <v>1448.5525569362021</v>
      </c>
      <c r="I43" s="32" t="s">
        <v>63</v>
      </c>
      <c r="L43" t="s">
        <v>94</v>
      </c>
    </row>
    <row r="44" spans="1:12" customFormat="1" x14ac:dyDescent="0.25">
      <c r="A44" s="20" t="s">
        <v>95</v>
      </c>
      <c r="B44" s="21" t="s">
        <v>96</v>
      </c>
      <c r="C44" s="22" t="s">
        <v>97</v>
      </c>
      <c r="D44" s="23">
        <v>3938</v>
      </c>
      <c r="E44" s="24">
        <f>D44/$D$68</f>
        <v>1.2365591701727106E-2</v>
      </c>
      <c r="F44" s="25">
        <f t="shared" si="2"/>
        <v>1509.1005209562866</v>
      </c>
      <c r="G44" s="26">
        <f t="shared" si="3"/>
        <v>75.455026047814329</v>
      </c>
      <c r="H44" s="26">
        <f t="shared" si="0"/>
        <v>1584.5555470041008</v>
      </c>
    </row>
    <row r="45" spans="1:12" customFormat="1" x14ac:dyDescent="0.25">
      <c r="A45" s="20" t="s">
        <v>98</v>
      </c>
      <c r="B45" s="21" t="s">
        <v>167</v>
      </c>
      <c r="C45" s="22" t="s">
        <v>168</v>
      </c>
      <c r="D45" s="23">
        <v>3707</v>
      </c>
      <c r="E45" s="24">
        <f t="shared" si="1"/>
        <v>1.1640235763916299E-2</v>
      </c>
      <c r="F45" s="25">
        <f t="shared" si="2"/>
        <v>1420.5778646990743</v>
      </c>
      <c r="G45" s="26">
        <f t="shared" si="3"/>
        <v>71.028893234953713</v>
      </c>
      <c r="H45" s="26">
        <f t="shared" si="0"/>
        <v>1491.6067579340281</v>
      </c>
    </row>
    <row r="46" spans="1:12" customFormat="1" x14ac:dyDescent="0.25">
      <c r="A46" s="20" t="s">
        <v>100</v>
      </c>
      <c r="B46" s="21" t="s">
        <v>101</v>
      </c>
      <c r="C46" s="22">
        <v>42109766000159</v>
      </c>
      <c r="D46" s="23">
        <v>5117</v>
      </c>
      <c r="E46" s="24">
        <f t="shared" si="1"/>
        <v>1.6067733046657592E-2</v>
      </c>
      <c r="F46" s="25">
        <f t="shared" si="2"/>
        <v>1960.9109613340065</v>
      </c>
      <c r="G46" s="26">
        <f t="shared" si="3"/>
        <v>98.045548066700334</v>
      </c>
      <c r="H46" s="26">
        <f t="shared" si="0"/>
        <v>2058.9565094007066</v>
      </c>
    </row>
    <row r="47" spans="1:12" customFormat="1" x14ac:dyDescent="0.25">
      <c r="A47" s="20" t="s">
        <v>102</v>
      </c>
      <c r="B47" s="21" t="s">
        <v>99</v>
      </c>
      <c r="C47" s="22">
        <v>18788190000119</v>
      </c>
      <c r="D47" s="23">
        <v>14717</v>
      </c>
      <c r="E47" s="24">
        <f t="shared" si="1"/>
        <v>4.6212395397236622E-2</v>
      </c>
      <c r="F47" s="25">
        <f t="shared" si="2"/>
        <v>5639.774597997377</v>
      </c>
      <c r="G47" s="26">
        <f t="shared" si="3"/>
        <v>281.98872989986887</v>
      </c>
      <c r="H47" s="26">
        <f t="shared" si="0"/>
        <v>5921.7633278972462</v>
      </c>
    </row>
    <row r="48" spans="1:12" customFormat="1" ht="13.5" customHeight="1" x14ac:dyDescent="0.25">
      <c r="A48" s="20" t="s">
        <v>103</v>
      </c>
      <c r="B48" s="21" t="s">
        <v>104</v>
      </c>
      <c r="C48" s="22">
        <v>32302613000170</v>
      </c>
      <c r="D48" s="23">
        <v>5439</v>
      </c>
      <c r="E48" s="24">
        <f t="shared" si="1"/>
        <v>1.7078835262999931E-2</v>
      </c>
      <c r="F48" s="25">
        <f t="shared" si="2"/>
        <v>2084.3061791470905</v>
      </c>
      <c r="G48" s="26">
        <f t="shared" si="3"/>
        <v>104.21530895735452</v>
      </c>
      <c r="H48" s="26">
        <f t="shared" si="0"/>
        <v>2188.5214881044449</v>
      </c>
    </row>
    <row r="49" spans="1:10" customFormat="1" x14ac:dyDescent="0.25">
      <c r="A49" s="20" t="s">
        <v>105</v>
      </c>
      <c r="B49" s="21" t="s">
        <v>106</v>
      </c>
      <c r="C49" s="22">
        <v>28616552000148</v>
      </c>
      <c r="D49" s="23">
        <v>4123.71</v>
      </c>
      <c r="E49" s="24">
        <f t="shared" si="1"/>
        <v>1.2948733914761068E-2</v>
      </c>
      <c r="F49" s="25">
        <f t="shared" si="2"/>
        <v>1580.2673715776152</v>
      </c>
      <c r="G49" s="26">
        <f t="shared" si="3"/>
        <v>79.013368578880772</v>
      </c>
      <c r="H49" s="26">
        <f t="shared" si="0"/>
        <v>1659.280740156496</v>
      </c>
    </row>
    <row r="50" spans="1:10" customFormat="1" x14ac:dyDescent="0.25">
      <c r="A50" s="20" t="s">
        <v>107</v>
      </c>
      <c r="B50" s="21" t="s">
        <v>108</v>
      </c>
      <c r="C50" s="22">
        <v>42579914000107</v>
      </c>
      <c r="D50" s="23">
        <v>4986.3599999999997</v>
      </c>
      <c r="E50" s="24">
        <f t="shared" si="1"/>
        <v>1.5657514433170129E-2</v>
      </c>
      <c r="F50" s="25">
        <f t="shared" si="2"/>
        <v>1910.8477586784124</v>
      </c>
      <c r="G50" s="26">
        <f t="shared" si="3"/>
        <v>95.542387933920622</v>
      </c>
      <c r="H50" s="26">
        <f t="shared" si="0"/>
        <v>2006.390146612333</v>
      </c>
    </row>
    <row r="51" spans="1:10" customFormat="1" x14ac:dyDescent="0.25">
      <c r="A51" s="20" t="s">
        <v>199</v>
      </c>
      <c r="B51" s="21" t="s">
        <v>200</v>
      </c>
      <c r="C51" s="22" t="s">
        <v>201</v>
      </c>
      <c r="D51" s="23">
        <v>3946</v>
      </c>
      <c r="E51" s="24">
        <f t="shared" si="1"/>
        <v>1.2390712253685921E-2</v>
      </c>
      <c r="F51" s="25">
        <f t="shared" si="2"/>
        <v>1512.1662406535061</v>
      </c>
      <c r="G51" s="26">
        <f t="shared" si="3"/>
        <v>75.6083120326753</v>
      </c>
      <c r="H51" s="26">
        <f t="shared" si="0"/>
        <v>1587.7745526861813</v>
      </c>
      <c r="J51" s="44"/>
    </row>
    <row r="52" spans="1:10" customFormat="1" x14ac:dyDescent="0.25">
      <c r="A52" s="20" t="s">
        <v>202</v>
      </c>
      <c r="B52" s="21" t="s">
        <v>203</v>
      </c>
      <c r="C52" s="22" t="s">
        <v>204</v>
      </c>
      <c r="D52" s="23">
        <v>3516</v>
      </c>
      <c r="E52" s="24">
        <f t="shared" si="1"/>
        <v>1.1040482585899569E-2</v>
      </c>
      <c r="F52" s="25">
        <f t="shared" si="2"/>
        <v>1347.3838069279593</v>
      </c>
      <c r="G52" s="26">
        <f t="shared" si="3"/>
        <v>67.369190346397971</v>
      </c>
      <c r="H52" s="26">
        <f t="shared" si="0"/>
        <v>1414.7529972743573</v>
      </c>
      <c r="J52" s="44"/>
    </row>
    <row r="53" spans="1:10" customFormat="1" x14ac:dyDescent="0.25">
      <c r="A53" s="20" t="s">
        <v>112</v>
      </c>
      <c r="B53" s="21" t="s">
        <v>205</v>
      </c>
      <c r="C53" s="22" t="s">
        <v>206</v>
      </c>
      <c r="D53" s="23">
        <v>5525</v>
      </c>
      <c r="E53" s="24">
        <f t="shared" si="1"/>
        <v>1.7348881196557201E-2</v>
      </c>
      <c r="F53" s="25">
        <f t="shared" si="2"/>
        <v>2117.2626658921999</v>
      </c>
      <c r="G53" s="26">
        <f t="shared" si="3"/>
        <v>105.86313329461001</v>
      </c>
      <c r="H53" s="26">
        <f t="shared" si="0"/>
        <v>2223.1257991868101</v>
      </c>
    </row>
    <row r="54" spans="1:10" customFormat="1" x14ac:dyDescent="0.25">
      <c r="A54" s="20" t="s">
        <v>179</v>
      </c>
      <c r="B54" s="21" t="s">
        <v>180</v>
      </c>
      <c r="C54" s="22" t="s">
        <v>181</v>
      </c>
      <c r="D54" s="23">
        <v>11302</v>
      </c>
      <c r="E54" s="24">
        <f t="shared" si="1"/>
        <v>3.5489059779817103E-2</v>
      </c>
      <c r="F54" s="25">
        <f t="shared" si="2"/>
        <v>4331.0955022468133</v>
      </c>
      <c r="G54" s="26">
        <f t="shared" si="3"/>
        <v>216.55477511234068</v>
      </c>
      <c r="H54" s="26">
        <f t="shared" si="0"/>
        <v>4547.6502773591537</v>
      </c>
    </row>
    <row r="55" spans="1:10" customFormat="1" x14ac:dyDescent="0.25">
      <c r="A55" s="20" t="s">
        <v>117</v>
      </c>
      <c r="B55" s="21" t="s">
        <v>118</v>
      </c>
      <c r="C55" s="22" t="s">
        <v>119</v>
      </c>
      <c r="D55" s="23">
        <v>4943</v>
      </c>
      <c r="E55" s="24">
        <f t="shared" si="1"/>
        <v>1.5521361041553348E-2</v>
      </c>
      <c r="F55" s="25">
        <f t="shared" si="2"/>
        <v>1894.2315579194831</v>
      </c>
      <c r="G55" s="26">
        <f t="shared" si="3"/>
        <v>94.711577895974159</v>
      </c>
      <c r="H55" s="26">
        <f t="shared" si="0"/>
        <v>1988.9431358154573</v>
      </c>
    </row>
    <row r="56" spans="1:10" customFormat="1" x14ac:dyDescent="0.25">
      <c r="A56" s="20" t="s">
        <v>120</v>
      </c>
      <c r="B56" s="21" t="s">
        <v>121</v>
      </c>
      <c r="C56" s="22">
        <v>12997366000166</v>
      </c>
      <c r="D56" s="23">
        <v>5160</v>
      </c>
      <c r="E56" s="24">
        <f t="shared" si="1"/>
        <v>1.620275601343623E-2</v>
      </c>
      <c r="F56" s="25">
        <f t="shared" si="2"/>
        <v>1977.3892047065615</v>
      </c>
      <c r="G56" s="26">
        <f t="shared" si="3"/>
        <v>98.869460235328077</v>
      </c>
      <c r="H56" s="26">
        <f t="shared" si="0"/>
        <v>2076.2586649418895</v>
      </c>
    </row>
    <row r="57" spans="1:10" customFormat="1" ht="16.5" customHeight="1" x14ac:dyDescent="0.25">
      <c r="A57" s="20" t="s">
        <v>122</v>
      </c>
      <c r="B57" s="21" t="s">
        <v>123</v>
      </c>
      <c r="C57" s="22" t="s">
        <v>124</v>
      </c>
      <c r="D57" s="23">
        <v>6586</v>
      </c>
      <c r="E57" s="24">
        <f t="shared" si="1"/>
        <v>2.0680494400095156E-2</v>
      </c>
      <c r="F57" s="25">
        <f t="shared" si="2"/>
        <v>2523.8537407359327</v>
      </c>
      <c r="G57" s="26">
        <f t="shared" si="3"/>
        <v>126.19268703679664</v>
      </c>
      <c r="H57" s="26">
        <f t="shared" si="0"/>
        <v>2650.0464277727292</v>
      </c>
    </row>
    <row r="58" spans="1:10" customFormat="1" x14ac:dyDescent="0.25">
      <c r="A58" s="20" t="s">
        <v>125</v>
      </c>
      <c r="B58" s="86" t="s">
        <v>126</v>
      </c>
      <c r="C58" s="22">
        <v>11884518000151</v>
      </c>
      <c r="D58" s="23">
        <v>5644</v>
      </c>
      <c r="E58" s="24">
        <f t="shared" si="1"/>
        <v>1.7722549406944586E-2</v>
      </c>
      <c r="F58" s="25">
        <f t="shared" si="2"/>
        <v>2162.8652463883395</v>
      </c>
      <c r="G58" s="26">
        <f t="shared" si="3"/>
        <v>108.14326231941698</v>
      </c>
      <c r="H58" s="26">
        <f t="shared" si="0"/>
        <v>2271.0085087077564</v>
      </c>
    </row>
    <row r="59" spans="1:10" customFormat="1" x14ac:dyDescent="0.25">
      <c r="A59" s="20" t="s">
        <v>147</v>
      </c>
      <c r="B59" s="21" t="s">
        <v>148</v>
      </c>
      <c r="C59" s="22">
        <v>41142377000162</v>
      </c>
      <c r="D59" s="23">
        <v>1134.82</v>
      </c>
      <c r="E59" s="24">
        <f t="shared" si="1"/>
        <v>3.5634130967379263E-3</v>
      </c>
      <c r="F59" s="25">
        <f t="shared" si="2"/>
        <v>434.88000334982559</v>
      </c>
      <c r="G59" s="26">
        <f t="shared" si="3"/>
        <v>21.744000167491279</v>
      </c>
      <c r="H59" s="26">
        <f t="shared" si="0"/>
        <v>456.62400351731685</v>
      </c>
    </row>
    <row r="60" spans="1:10" customFormat="1" x14ac:dyDescent="0.25">
      <c r="A60" s="20" t="s">
        <v>222</v>
      </c>
      <c r="B60" s="21" t="s">
        <v>223</v>
      </c>
      <c r="C60" s="22"/>
      <c r="D60" s="23">
        <v>8179</v>
      </c>
      <c r="E60" s="24">
        <f t="shared" si="1"/>
        <v>2.5682624308894363E-2</v>
      </c>
      <c r="F60" s="25">
        <f t="shared" si="2"/>
        <v>3134.3151754447608</v>
      </c>
      <c r="G60" s="26">
        <f t="shared" si="3"/>
        <v>156.71575877223805</v>
      </c>
      <c r="H60" s="26">
        <f t="shared" si="0"/>
        <v>3291.030934216999</v>
      </c>
    </row>
    <row r="61" spans="1:10" customFormat="1" x14ac:dyDescent="0.25">
      <c r="A61" s="20" t="s">
        <v>127</v>
      </c>
      <c r="B61" s="86" t="s">
        <v>128</v>
      </c>
      <c r="C61" s="22">
        <v>36188051000136</v>
      </c>
      <c r="D61" s="23">
        <v>6936</v>
      </c>
      <c r="E61" s="24">
        <f t="shared" si="1"/>
        <v>2.1779518548293349E-2</v>
      </c>
      <c r="F61" s="25">
        <f t="shared" si="2"/>
        <v>2657.9789774892847</v>
      </c>
      <c r="G61" s="26">
        <f t="shared" si="3"/>
        <v>132.89894887446425</v>
      </c>
      <c r="H61" s="26">
        <f t="shared" si="0"/>
        <v>2790.8779263637489</v>
      </c>
    </row>
    <row r="62" spans="1:10" customFormat="1" x14ac:dyDescent="0.25">
      <c r="A62" s="20" t="s">
        <v>129</v>
      </c>
      <c r="B62" s="86" t="s">
        <v>130</v>
      </c>
      <c r="C62" s="22" t="s">
        <v>131</v>
      </c>
      <c r="D62" s="23">
        <f>7425*40%</f>
        <v>2970</v>
      </c>
      <c r="E62" s="24">
        <f t="shared" si="1"/>
        <v>9.3260049147103879E-3</v>
      </c>
      <c r="F62" s="25">
        <f t="shared" si="2"/>
        <v>1138.1484375927303</v>
      </c>
      <c r="G62" s="26">
        <f t="shared" si="3"/>
        <v>56.907421879636516</v>
      </c>
      <c r="H62" s="26">
        <f t="shared" si="0"/>
        <v>1195.0558594723668</v>
      </c>
    </row>
    <row r="63" spans="1:10" customFormat="1" x14ac:dyDescent="0.25">
      <c r="A63" s="20" t="s">
        <v>132</v>
      </c>
      <c r="B63" s="86" t="s">
        <v>133</v>
      </c>
      <c r="C63" s="22">
        <v>18741082000190</v>
      </c>
      <c r="D63" s="23">
        <v>12183</v>
      </c>
      <c r="E63" s="24">
        <f t="shared" si="1"/>
        <v>3.8255460564281703E-2</v>
      </c>
      <c r="F63" s="25">
        <f t="shared" si="2"/>
        <v>4668.7078839031083</v>
      </c>
      <c r="G63" s="26">
        <f t="shared" si="3"/>
        <v>233.43539419515542</v>
      </c>
      <c r="H63" s="26">
        <f t="shared" si="0"/>
        <v>4902.1432780982641</v>
      </c>
    </row>
    <row r="64" spans="1:10" customFormat="1" x14ac:dyDescent="0.25">
      <c r="A64" s="20" t="s">
        <v>134</v>
      </c>
      <c r="B64" s="86" t="s">
        <v>207</v>
      </c>
      <c r="C64" s="22"/>
      <c r="D64" s="23">
        <v>4814</v>
      </c>
      <c r="E64" s="24">
        <f t="shared" si="1"/>
        <v>1.5116292141217442E-2</v>
      </c>
      <c r="F64" s="25">
        <f t="shared" si="2"/>
        <v>1844.7968278018191</v>
      </c>
      <c r="G64" s="26">
        <f t="shared" si="3"/>
        <v>92.239841390090959</v>
      </c>
      <c r="H64" s="26">
        <f t="shared" si="0"/>
        <v>1937.0366691919101</v>
      </c>
    </row>
    <row r="65" spans="1:8" customFormat="1" x14ac:dyDescent="0.25">
      <c r="A65" s="20" t="s">
        <v>183</v>
      </c>
      <c r="B65" s="21" t="s">
        <v>184</v>
      </c>
      <c r="C65" s="22" t="s">
        <v>185</v>
      </c>
      <c r="D65" s="23">
        <f>6188.23+4126.33</f>
        <v>10314.56</v>
      </c>
      <c r="E65" s="24">
        <f t="shared" si="1"/>
        <v>3.2388430051540462E-2</v>
      </c>
      <c r="F65" s="25">
        <f t="shared" si="2"/>
        <v>3952.6937200190137</v>
      </c>
      <c r="G65" s="26">
        <f>F65*5%</f>
        <v>197.63468600095069</v>
      </c>
      <c r="H65" s="26">
        <f>F65+G65</f>
        <v>4150.3284060199639</v>
      </c>
    </row>
    <row r="66" spans="1:8" customFormat="1" x14ac:dyDescent="0.25">
      <c r="A66" s="20" t="s">
        <v>137</v>
      </c>
      <c r="B66" s="86" t="s">
        <v>138</v>
      </c>
      <c r="C66" s="22" t="s">
        <v>139</v>
      </c>
      <c r="D66" s="23">
        <v>3476.86</v>
      </c>
      <c r="E66" s="24">
        <f t="shared" si="1"/>
        <v>1.0917580285441063E-2</v>
      </c>
      <c r="F66" s="25">
        <f t="shared" si="2"/>
        <v>1332.384773309313</v>
      </c>
      <c r="G66" s="26">
        <f t="shared" si="3"/>
        <v>66.619238665465659</v>
      </c>
      <c r="H66" s="26">
        <f t="shared" si="0"/>
        <v>1399.0040119747787</v>
      </c>
    </row>
    <row r="67" spans="1:8" customFormat="1" x14ac:dyDescent="0.25">
      <c r="A67" s="20" t="s">
        <v>140</v>
      </c>
      <c r="B67" s="28" t="s">
        <v>141</v>
      </c>
      <c r="C67" s="22">
        <v>11884518000151</v>
      </c>
      <c r="D67" s="23">
        <f>81377.44-14717-3314-9239-9403+9177.57-4760-4593-8179</f>
        <v>36350.01</v>
      </c>
      <c r="E67" s="24">
        <f t="shared" si="1"/>
        <v>0.11414153936355952</v>
      </c>
      <c r="F67" s="25">
        <f t="shared" si="2"/>
        <v>13929.867706390613</v>
      </c>
      <c r="G67" s="26">
        <f t="shared" si="3"/>
        <v>696.49338531953072</v>
      </c>
      <c r="H67" s="26">
        <f t="shared" si="0"/>
        <v>14626.361091710143</v>
      </c>
    </row>
    <row r="68" spans="1:8" customFormat="1" x14ac:dyDescent="0.25">
      <c r="A68" s="34"/>
      <c r="B68" s="35"/>
      <c r="C68" s="36" t="s">
        <v>142</v>
      </c>
      <c r="D68" s="37">
        <f>SUM(D20:D67)</f>
        <v>318464.34000000003</v>
      </c>
      <c r="E68" s="38">
        <f>SUM(E20:E67)</f>
        <v>0.99999999999999978</v>
      </c>
      <c r="F68" s="98">
        <f>SUM(F20:F67)</f>
        <v>122040.29999999996</v>
      </c>
      <c r="G68" s="98">
        <f>SUM(G20:G67)</f>
        <v>6102.0149999999994</v>
      </c>
      <c r="H68" s="99">
        <f>SUM(H20:H67)</f>
        <v>128142.31499999997</v>
      </c>
    </row>
    <row r="69" spans="1:8" customFormat="1" x14ac:dyDescent="0.25">
      <c r="D69" s="44"/>
      <c r="F69" s="41"/>
    </row>
    <row r="70" spans="1:8" customFormat="1" x14ac:dyDescent="0.25">
      <c r="F70" s="41"/>
    </row>
    <row r="71" spans="1:8" customFormat="1" x14ac:dyDescent="0.25">
      <c r="D71" s="44"/>
      <c r="E71" s="41"/>
      <c r="H71" s="42"/>
    </row>
    <row r="72" spans="1:8" customFormat="1" x14ac:dyDescent="0.25">
      <c r="E72" s="41"/>
    </row>
    <row r="73" spans="1:8" customFormat="1" x14ac:dyDescent="0.25"/>
    <row r="74" spans="1:8" customFormat="1" x14ac:dyDescent="0.25"/>
    <row r="75" spans="1:8" customFormat="1" x14ac:dyDescent="0.25"/>
    <row r="76" spans="1:8" customFormat="1" x14ac:dyDescent="0.25">
      <c r="C76" s="44"/>
    </row>
    <row r="77" spans="1:8" customFormat="1" x14ac:dyDescent="0.25"/>
    <row r="78" spans="1:8" customFormat="1" x14ac:dyDescent="0.25"/>
    <row r="79" spans="1:8" customFormat="1" x14ac:dyDescent="0.25"/>
    <row r="80" spans="1:8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spans="1:8" customFormat="1" x14ac:dyDescent="0.25"/>
    <row r="146" spans="1:8" customFormat="1" x14ac:dyDescent="0.25"/>
    <row r="147" spans="1:8" customFormat="1" x14ac:dyDescent="0.25"/>
    <row r="148" spans="1:8" customFormat="1" x14ac:dyDescent="0.25"/>
    <row r="149" spans="1:8" customFormat="1" x14ac:dyDescent="0.25"/>
    <row r="150" spans="1:8" customFormat="1" x14ac:dyDescent="0.25"/>
    <row r="151" spans="1:8" customFormat="1" x14ac:dyDescent="0.25"/>
    <row r="152" spans="1:8" customFormat="1" x14ac:dyDescent="0.25">
      <c r="A152" s="100"/>
      <c r="B152" s="100"/>
      <c r="C152" s="100"/>
      <c r="D152" s="100"/>
      <c r="E152" s="100"/>
    </row>
    <row r="153" spans="1:8" x14ac:dyDescent="0.25">
      <c r="F153"/>
      <c r="G153"/>
      <c r="H153"/>
    </row>
    <row r="154" spans="1:8" x14ac:dyDescent="0.25">
      <c r="F154"/>
      <c r="G154"/>
      <c r="H154"/>
    </row>
    <row r="155" spans="1:8" x14ac:dyDescent="0.25">
      <c r="F155"/>
      <c r="G155"/>
      <c r="H155"/>
    </row>
    <row r="156" spans="1:8" x14ac:dyDescent="0.25">
      <c r="F156"/>
      <c r="G156"/>
      <c r="H156"/>
    </row>
    <row r="157" spans="1:8" x14ac:dyDescent="0.25">
      <c r="F157"/>
      <c r="G157"/>
      <c r="H157"/>
    </row>
    <row r="158" spans="1:8" x14ac:dyDescent="0.25">
      <c r="F158"/>
      <c r="G158"/>
      <c r="H158"/>
    </row>
    <row r="159" spans="1:8" x14ac:dyDescent="0.25">
      <c r="F159"/>
      <c r="G159"/>
      <c r="H159"/>
    </row>
    <row r="160" spans="1:8" x14ac:dyDescent="0.25">
      <c r="F160"/>
      <c r="G160"/>
      <c r="H160"/>
    </row>
    <row r="161" spans="6:8" x14ac:dyDescent="0.25">
      <c r="F161"/>
      <c r="G161"/>
      <c r="H161"/>
    </row>
    <row r="162" spans="6:8" x14ac:dyDescent="0.25">
      <c r="F162"/>
      <c r="G162"/>
      <c r="H162"/>
    </row>
    <row r="163" spans="6:8" x14ac:dyDescent="0.25">
      <c r="F163"/>
      <c r="G163"/>
      <c r="H163"/>
    </row>
    <row r="164" spans="6:8" x14ac:dyDescent="0.25">
      <c r="F164"/>
      <c r="G164"/>
      <c r="H164"/>
    </row>
    <row r="165" spans="6:8" x14ac:dyDescent="0.25">
      <c r="F165"/>
      <c r="G165"/>
      <c r="H165"/>
    </row>
    <row r="166" spans="6:8" x14ac:dyDescent="0.25">
      <c r="F166"/>
      <c r="G166"/>
      <c r="H166"/>
    </row>
    <row r="167" spans="6:8" x14ac:dyDescent="0.25">
      <c r="F167"/>
      <c r="G167"/>
      <c r="H167"/>
    </row>
    <row r="168" spans="6:8" x14ac:dyDescent="0.25">
      <c r="F168"/>
      <c r="G168"/>
      <c r="H168"/>
    </row>
    <row r="169" spans="6:8" x14ac:dyDescent="0.25">
      <c r="F169"/>
      <c r="G169"/>
      <c r="H169"/>
    </row>
    <row r="170" spans="6:8" x14ac:dyDescent="0.25">
      <c r="F170"/>
      <c r="G170"/>
      <c r="H170"/>
    </row>
    <row r="171" spans="6:8" x14ac:dyDescent="0.25">
      <c r="F171"/>
      <c r="G171"/>
      <c r="H171"/>
    </row>
    <row r="172" spans="6:8" x14ac:dyDescent="0.25">
      <c r="F172"/>
      <c r="G172"/>
      <c r="H172"/>
    </row>
    <row r="173" spans="6:8" x14ac:dyDescent="0.25">
      <c r="F173"/>
      <c r="G173"/>
      <c r="H173"/>
    </row>
    <row r="174" spans="6:8" x14ac:dyDescent="0.25">
      <c r="F174"/>
      <c r="G174"/>
      <c r="H174"/>
    </row>
    <row r="175" spans="6:8" x14ac:dyDescent="0.25">
      <c r="F175"/>
      <c r="G175"/>
      <c r="H175"/>
    </row>
    <row r="176" spans="6:8" x14ac:dyDescent="0.25">
      <c r="F176"/>
      <c r="G176"/>
      <c r="H176"/>
    </row>
    <row r="177" spans="6:8" x14ac:dyDescent="0.25">
      <c r="F177"/>
      <c r="G177"/>
      <c r="H177"/>
    </row>
    <row r="178" spans="6:8" x14ac:dyDescent="0.25">
      <c r="F178"/>
      <c r="G178"/>
      <c r="H178"/>
    </row>
    <row r="179" spans="6:8" x14ac:dyDescent="0.25">
      <c r="F179"/>
      <c r="G179"/>
      <c r="H179"/>
    </row>
    <row r="180" spans="6:8" x14ac:dyDescent="0.25">
      <c r="F180"/>
      <c r="G180"/>
      <c r="H180"/>
    </row>
    <row r="181" spans="6:8" x14ac:dyDescent="0.25">
      <c r="F181"/>
      <c r="G181"/>
      <c r="H181"/>
    </row>
    <row r="182" spans="6:8" x14ac:dyDescent="0.25">
      <c r="F182"/>
      <c r="G182"/>
      <c r="H182"/>
    </row>
    <row r="183" spans="6:8" x14ac:dyDescent="0.25">
      <c r="F183"/>
      <c r="G183"/>
      <c r="H183"/>
    </row>
    <row r="184" spans="6:8" x14ac:dyDescent="0.25">
      <c r="F184"/>
      <c r="G184"/>
      <c r="H184"/>
    </row>
    <row r="185" spans="6:8" x14ac:dyDescent="0.25">
      <c r="F185"/>
      <c r="G185"/>
      <c r="H185"/>
    </row>
    <row r="186" spans="6:8" x14ac:dyDescent="0.25">
      <c r="F186"/>
      <c r="G186"/>
      <c r="H186"/>
    </row>
    <row r="187" spans="6:8" x14ac:dyDescent="0.25">
      <c r="F187"/>
      <c r="G187"/>
      <c r="H187"/>
    </row>
    <row r="188" spans="6:8" x14ac:dyDescent="0.25">
      <c r="F188"/>
      <c r="G188"/>
      <c r="H188"/>
    </row>
    <row r="189" spans="6:8" x14ac:dyDescent="0.25">
      <c r="F189"/>
      <c r="G189"/>
      <c r="H189"/>
    </row>
    <row r="190" spans="6:8" x14ac:dyDescent="0.25">
      <c r="F190"/>
      <c r="G190"/>
      <c r="H190"/>
    </row>
    <row r="191" spans="6:8" x14ac:dyDescent="0.25">
      <c r="F191"/>
      <c r="G191"/>
      <c r="H191"/>
    </row>
    <row r="192" spans="6:8" x14ac:dyDescent="0.25">
      <c r="F192"/>
      <c r="G192"/>
      <c r="H192"/>
    </row>
    <row r="193" spans="6:8" x14ac:dyDescent="0.25">
      <c r="F193"/>
      <c r="G193"/>
      <c r="H193"/>
    </row>
    <row r="194" spans="6:8" x14ac:dyDescent="0.25">
      <c r="F194"/>
      <c r="G194"/>
      <c r="H194"/>
    </row>
    <row r="195" spans="6:8" x14ac:dyDescent="0.25">
      <c r="F195"/>
      <c r="G195"/>
      <c r="H195"/>
    </row>
    <row r="196" spans="6:8" x14ac:dyDescent="0.25">
      <c r="F196"/>
      <c r="G196"/>
      <c r="H196"/>
    </row>
    <row r="197" spans="6:8" x14ac:dyDescent="0.25">
      <c r="F197"/>
      <c r="G197"/>
      <c r="H197"/>
    </row>
    <row r="198" spans="6:8" x14ac:dyDescent="0.25">
      <c r="F198"/>
      <c r="G198"/>
      <c r="H198"/>
    </row>
    <row r="199" spans="6:8" x14ac:dyDescent="0.25">
      <c r="F199"/>
      <c r="G199"/>
      <c r="H199"/>
    </row>
    <row r="200" spans="6:8" x14ac:dyDescent="0.25">
      <c r="F200"/>
      <c r="G200"/>
      <c r="H200"/>
    </row>
    <row r="201" spans="6:8" x14ac:dyDescent="0.25">
      <c r="F201"/>
      <c r="G201"/>
      <c r="H201"/>
    </row>
    <row r="202" spans="6:8" x14ac:dyDescent="0.25">
      <c r="F202"/>
      <c r="G202"/>
      <c r="H202"/>
    </row>
    <row r="203" spans="6:8" x14ac:dyDescent="0.25">
      <c r="F203"/>
      <c r="G203"/>
      <c r="H203"/>
    </row>
    <row r="204" spans="6:8" x14ac:dyDescent="0.25">
      <c r="F204"/>
      <c r="G204"/>
      <c r="H204"/>
    </row>
    <row r="205" spans="6:8" x14ac:dyDescent="0.25">
      <c r="F205"/>
      <c r="G205"/>
      <c r="H205"/>
    </row>
    <row r="206" spans="6:8" x14ac:dyDescent="0.25">
      <c r="F206"/>
      <c r="G206"/>
      <c r="H206"/>
    </row>
    <row r="207" spans="6:8" x14ac:dyDescent="0.25">
      <c r="F207"/>
      <c r="G207"/>
      <c r="H207"/>
    </row>
    <row r="208" spans="6:8" x14ac:dyDescent="0.25">
      <c r="F208"/>
      <c r="G208"/>
      <c r="H208"/>
    </row>
    <row r="209" spans="6:8" x14ac:dyDescent="0.25">
      <c r="F209"/>
      <c r="G209"/>
      <c r="H209"/>
    </row>
    <row r="210" spans="6:8" x14ac:dyDescent="0.25">
      <c r="F210"/>
      <c r="G210"/>
      <c r="H210"/>
    </row>
    <row r="211" spans="6:8" x14ac:dyDescent="0.25">
      <c r="F211"/>
      <c r="G211"/>
      <c r="H211"/>
    </row>
    <row r="212" spans="6:8" x14ac:dyDescent="0.25">
      <c r="F212"/>
      <c r="G212"/>
      <c r="H212"/>
    </row>
    <row r="213" spans="6:8" x14ac:dyDescent="0.25">
      <c r="F213"/>
      <c r="G213"/>
      <c r="H213"/>
    </row>
    <row r="214" spans="6:8" x14ac:dyDescent="0.25">
      <c r="F214"/>
      <c r="G214"/>
      <c r="H214"/>
    </row>
    <row r="215" spans="6:8" x14ac:dyDescent="0.25">
      <c r="F215"/>
      <c r="G215"/>
      <c r="H215"/>
    </row>
    <row r="216" spans="6:8" x14ac:dyDescent="0.25">
      <c r="F216"/>
      <c r="G216"/>
      <c r="H216"/>
    </row>
    <row r="217" spans="6:8" x14ac:dyDescent="0.25">
      <c r="F217"/>
      <c r="G217"/>
      <c r="H217"/>
    </row>
    <row r="218" spans="6:8" x14ac:dyDescent="0.25">
      <c r="F218"/>
      <c r="G218"/>
      <c r="H218"/>
    </row>
    <row r="219" spans="6:8" x14ac:dyDescent="0.25">
      <c r="F219"/>
      <c r="G219"/>
      <c r="H219"/>
    </row>
    <row r="220" spans="6:8" x14ac:dyDescent="0.25">
      <c r="F220"/>
      <c r="G220"/>
      <c r="H220"/>
    </row>
    <row r="221" spans="6:8" x14ac:dyDescent="0.25">
      <c r="F221"/>
      <c r="G221"/>
      <c r="H221"/>
    </row>
    <row r="222" spans="6:8" x14ac:dyDescent="0.25">
      <c r="F222"/>
      <c r="G222"/>
      <c r="H222"/>
    </row>
    <row r="223" spans="6:8" x14ac:dyDescent="0.25">
      <c r="F223"/>
      <c r="G223"/>
      <c r="H223"/>
    </row>
    <row r="224" spans="6:8" x14ac:dyDescent="0.25">
      <c r="F224"/>
      <c r="G224"/>
      <c r="H224"/>
    </row>
    <row r="225" spans="6:8" x14ac:dyDescent="0.25">
      <c r="F225"/>
      <c r="G225"/>
      <c r="H225"/>
    </row>
    <row r="226" spans="6:8" x14ac:dyDescent="0.25">
      <c r="F226"/>
      <c r="G226"/>
      <c r="H226"/>
    </row>
    <row r="227" spans="6:8" x14ac:dyDescent="0.25">
      <c r="F227"/>
      <c r="G227"/>
      <c r="H227"/>
    </row>
    <row r="228" spans="6:8" x14ac:dyDescent="0.25">
      <c r="F228"/>
      <c r="G228"/>
      <c r="H228"/>
    </row>
    <row r="229" spans="6:8" x14ac:dyDescent="0.25">
      <c r="F229"/>
      <c r="G229"/>
      <c r="H229"/>
    </row>
    <row r="230" spans="6:8" x14ac:dyDescent="0.25">
      <c r="F230"/>
      <c r="G230"/>
      <c r="H230"/>
    </row>
    <row r="231" spans="6:8" x14ac:dyDescent="0.25">
      <c r="F231"/>
      <c r="G231"/>
      <c r="H231"/>
    </row>
    <row r="232" spans="6:8" x14ac:dyDescent="0.25">
      <c r="F232"/>
      <c r="G232"/>
      <c r="H232"/>
    </row>
    <row r="233" spans="6:8" x14ac:dyDescent="0.25">
      <c r="F233"/>
      <c r="G233"/>
      <c r="H233"/>
    </row>
    <row r="234" spans="6:8" x14ac:dyDescent="0.25">
      <c r="G234"/>
      <c r="H234"/>
    </row>
  </sheetData>
  <autoFilter ref="A19:L68" xr:uid="{EF89F69C-AE2D-4213-8B8C-FE31A3656908}"/>
  <mergeCells count="1">
    <mergeCell ref="B1:G1"/>
  </mergeCells>
  <pageMargins left="0.511811024" right="0.511811024" top="0.78740157499999996" bottom="0.78740157499999996" header="0.31496062000000002" footer="0.3149606200000000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57837-71C6-45F4-BF8C-2AB4D9415BB1}">
  <dimension ref="A1:L228"/>
  <sheetViews>
    <sheetView topLeftCell="A48" zoomScaleNormal="100" workbookViewId="0">
      <selection activeCell="A17" sqref="A17"/>
    </sheetView>
  </sheetViews>
  <sheetFormatPr defaultColWidth="9.140625" defaultRowHeight="15" x14ac:dyDescent="0.25"/>
  <cols>
    <col min="1" max="1" width="29.5703125" style="100" customWidth="1"/>
    <col min="2" max="2" width="45.28515625" style="100" customWidth="1"/>
    <col min="3" max="3" width="29.7109375" style="100" customWidth="1"/>
    <col min="4" max="4" width="21.42578125" style="100" customWidth="1"/>
    <col min="5" max="5" width="17.42578125" style="100" customWidth="1"/>
    <col min="6" max="6" width="16.42578125" style="100" customWidth="1"/>
    <col min="7" max="7" width="17.140625" style="100" customWidth="1"/>
    <col min="8" max="8" width="16.85546875" style="100" bestFit="1" customWidth="1"/>
    <col min="9" max="16384" width="9.140625" style="100"/>
  </cols>
  <sheetData>
    <row r="1" spans="1:8" customFormat="1" ht="21.75" customHeight="1" x14ac:dyDescent="0.25">
      <c r="A1" s="87"/>
      <c r="B1" s="118" t="s">
        <v>0</v>
      </c>
      <c r="C1" s="119"/>
      <c r="D1" s="119"/>
      <c r="E1" s="119"/>
      <c r="F1" s="119"/>
      <c r="G1" s="120"/>
      <c r="H1" s="88"/>
    </row>
    <row r="2" spans="1:8" customFormat="1" ht="30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3"/>
      <c r="F2" s="4" t="s">
        <v>5</v>
      </c>
      <c r="G2" s="89"/>
      <c r="H2" s="6"/>
    </row>
    <row r="3" spans="1:8" customFormat="1" ht="30.6" customHeight="1" x14ac:dyDescent="0.25">
      <c r="A3" s="7">
        <v>1</v>
      </c>
      <c r="B3" s="8" t="s">
        <v>6</v>
      </c>
      <c r="C3" s="8"/>
      <c r="D3" s="9">
        <v>45870</v>
      </c>
      <c r="E3" s="9"/>
      <c r="F3" s="10">
        <f>532.69+550+5000</f>
        <v>6082.6900000000005</v>
      </c>
      <c r="G3" s="89"/>
      <c r="H3" s="6"/>
    </row>
    <row r="4" spans="1:8" customFormat="1" ht="30.6" customHeight="1" x14ac:dyDescent="0.25">
      <c r="A4" s="7">
        <v>2</v>
      </c>
      <c r="B4" s="8" t="s">
        <v>8</v>
      </c>
      <c r="C4" s="8" t="s">
        <v>9</v>
      </c>
      <c r="D4" s="9">
        <v>45870</v>
      </c>
      <c r="E4" s="9"/>
      <c r="F4" s="10">
        <v>39590</v>
      </c>
      <c r="G4" s="89"/>
      <c r="H4" s="11"/>
    </row>
    <row r="5" spans="1:8" customFormat="1" ht="30.6" customHeight="1" x14ac:dyDescent="0.25">
      <c r="A5" s="7">
        <v>3</v>
      </c>
      <c r="B5" s="8" t="s">
        <v>10</v>
      </c>
      <c r="C5" s="12" t="s">
        <v>11</v>
      </c>
      <c r="D5" s="9">
        <v>45870</v>
      </c>
      <c r="E5" s="9"/>
      <c r="F5" s="10">
        <v>39510.6</v>
      </c>
      <c r="G5" s="89"/>
      <c r="H5" s="11"/>
    </row>
    <row r="6" spans="1:8" customFormat="1" ht="30.6" customHeight="1" x14ac:dyDescent="0.25">
      <c r="A6" s="7">
        <v>4</v>
      </c>
      <c r="B6" s="8" t="s">
        <v>189</v>
      </c>
      <c r="C6" s="8" t="s">
        <v>190</v>
      </c>
      <c r="D6" s="9">
        <v>45870</v>
      </c>
      <c r="E6" s="9"/>
      <c r="F6" s="10">
        <v>24000</v>
      </c>
      <c r="G6" s="89"/>
      <c r="H6" s="6"/>
    </row>
    <row r="7" spans="1:8" customFormat="1" ht="30.6" customHeight="1" x14ac:dyDescent="0.25">
      <c r="A7" s="7">
        <v>5</v>
      </c>
      <c r="B7" s="8" t="s">
        <v>12</v>
      </c>
      <c r="C7" s="8"/>
      <c r="D7" s="9">
        <v>45870</v>
      </c>
      <c r="E7" s="9"/>
      <c r="F7" s="10">
        <v>395.8</v>
      </c>
      <c r="G7" s="89"/>
      <c r="H7" s="6"/>
    </row>
    <row r="8" spans="1:8" customFormat="1" ht="30.6" customHeight="1" x14ac:dyDescent="0.25">
      <c r="A8" s="7">
        <v>6</v>
      </c>
      <c r="B8" s="8" t="s">
        <v>13</v>
      </c>
      <c r="C8" s="8" t="s">
        <v>14</v>
      </c>
      <c r="D8" s="9">
        <v>45870</v>
      </c>
      <c r="E8" s="9"/>
      <c r="F8" s="13">
        <v>1518</v>
      </c>
      <c r="G8" s="89"/>
      <c r="H8" s="6"/>
    </row>
    <row r="9" spans="1:8" customFormat="1" ht="30.6" customHeight="1" x14ac:dyDescent="0.25">
      <c r="A9" s="7">
        <v>7</v>
      </c>
      <c r="B9" s="8" t="s">
        <v>15</v>
      </c>
      <c r="C9" s="8" t="s">
        <v>16</v>
      </c>
      <c r="D9" s="9">
        <v>45870</v>
      </c>
      <c r="E9" s="9"/>
      <c r="F9" s="13">
        <v>2500</v>
      </c>
      <c r="G9" s="89"/>
      <c r="H9" s="6"/>
    </row>
    <row r="10" spans="1:8" customFormat="1" ht="34.5" customHeight="1" x14ac:dyDescent="0.25">
      <c r="A10" s="7">
        <v>8</v>
      </c>
      <c r="B10" s="14" t="s">
        <v>17</v>
      </c>
      <c r="C10" s="12" t="s">
        <v>18</v>
      </c>
      <c r="D10" s="9">
        <v>45870</v>
      </c>
      <c r="E10" s="9"/>
      <c r="F10" s="13">
        <v>880</v>
      </c>
      <c r="G10" s="89"/>
      <c r="H10" s="6"/>
    </row>
    <row r="11" spans="1:8" customFormat="1" ht="30.6" customHeight="1" x14ac:dyDescent="0.25">
      <c r="A11" s="7">
        <v>9</v>
      </c>
      <c r="B11" s="14" t="s">
        <v>19</v>
      </c>
      <c r="C11" s="14" t="s">
        <v>20</v>
      </c>
      <c r="D11" s="9">
        <v>45870</v>
      </c>
      <c r="E11" s="9"/>
      <c r="F11" s="13">
        <v>134.36000000000001</v>
      </c>
      <c r="G11" s="89"/>
      <c r="H11" s="6"/>
    </row>
    <row r="12" spans="1:8" customFormat="1" ht="30.6" customHeight="1" x14ac:dyDescent="0.25">
      <c r="A12" s="7">
        <v>10</v>
      </c>
      <c r="B12" s="14" t="s">
        <v>149</v>
      </c>
      <c r="C12" s="14" t="s">
        <v>150</v>
      </c>
      <c r="D12" s="9">
        <v>45870</v>
      </c>
      <c r="E12" s="9"/>
      <c r="F12" s="13">
        <v>149.9</v>
      </c>
      <c r="G12" s="89"/>
      <c r="H12" s="6"/>
    </row>
    <row r="13" spans="1:8" customFormat="1" ht="30.6" customHeight="1" x14ac:dyDescent="0.25">
      <c r="A13" s="7">
        <v>11</v>
      </c>
      <c r="B13" s="14" t="s">
        <v>21</v>
      </c>
      <c r="C13" s="12" t="s">
        <v>22</v>
      </c>
      <c r="D13" s="9">
        <v>45870</v>
      </c>
      <c r="E13" s="9"/>
      <c r="F13" s="13">
        <v>308</v>
      </c>
      <c r="G13" s="89"/>
      <c r="H13" s="15"/>
    </row>
    <row r="14" spans="1:8" customFormat="1" ht="30.6" customHeight="1" x14ac:dyDescent="0.25">
      <c r="A14" s="7">
        <v>12</v>
      </c>
      <c r="B14" s="14" t="s">
        <v>23</v>
      </c>
      <c r="C14" s="8"/>
      <c r="D14" s="9">
        <v>45870</v>
      </c>
      <c r="E14" s="9"/>
      <c r="F14" s="13">
        <v>200</v>
      </c>
      <c r="G14" s="89"/>
      <c r="H14" s="6"/>
    </row>
    <row r="15" spans="1:8" customFormat="1" ht="31.5" customHeight="1" x14ac:dyDescent="0.25">
      <c r="A15" s="7">
        <v>13</v>
      </c>
      <c r="B15" s="14" t="s">
        <v>26</v>
      </c>
      <c r="C15" s="12" t="s">
        <v>182</v>
      </c>
      <c r="D15" s="9">
        <v>45870</v>
      </c>
      <c r="E15" s="9"/>
      <c r="F15" s="13">
        <v>299.5</v>
      </c>
      <c r="G15" s="89"/>
      <c r="H15" s="6"/>
    </row>
    <row r="16" spans="1:8" customFormat="1" ht="42" customHeight="1" x14ac:dyDescent="0.25">
      <c r="A16" s="90"/>
      <c r="B16" s="91" t="s">
        <v>31</v>
      </c>
      <c r="C16" s="92"/>
      <c r="D16" s="2"/>
      <c r="E16" s="93"/>
      <c r="F16" s="94">
        <f>SUM(F3:F15)</f>
        <v>115568.85</v>
      </c>
      <c r="G16" s="95"/>
      <c r="H16" s="6"/>
    </row>
    <row r="17" spans="1:12" customFormat="1" ht="21.75" customHeight="1" x14ac:dyDescent="0.25">
      <c r="A17" s="17" t="s">
        <v>32</v>
      </c>
      <c r="B17" s="17" t="s">
        <v>33</v>
      </c>
      <c r="C17" s="96" t="s">
        <v>34</v>
      </c>
      <c r="D17" s="17" t="s">
        <v>35</v>
      </c>
      <c r="E17" s="17" t="s">
        <v>36</v>
      </c>
      <c r="F17" s="17" t="s">
        <v>37</v>
      </c>
      <c r="G17" s="97" t="s">
        <v>38</v>
      </c>
      <c r="H17" s="96" t="s">
        <v>39</v>
      </c>
    </row>
    <row r="18" spans="1:12" s="27" customFormat="1" ht="15" customHeight="1" x14ac:dyDescent="0.25">
      <c r="A18" s="20" t="s">
        <v>40</v>
      </c>
      <c r="B18" s="21" t="s">
        <v>41</v>
      </c>
      <c r="C18" s="22" t="s">
        <v>42</v>
      </c>
      <c r="D18" s="23">
        <v>4016</v>
      </c>
      <c r="E18" s="24">
        <f>D18/$D$62</f>
        <v>1.2655614264944527E-2</v>
      </c>
      <c r="F18" s="25">
        <f>$F$16*E18</f>
        <v>1462.5947866432343</v>
      </c>
      <c r="G18" s="26">
        <f>F18*5%</f>
        <v>73.129739332161719</v>
      </c>
      <c r="H18" s="26">
        <f t="shared" ref="H18:H61" si="0">F18+G18</f>
        <v>1535.7245259753961</v>
      </c>
    </row>
    <row r="19" spans="1:12" customFormat="1" x14ac:dyDescent="0.25">
      <c r="A19" s="20" t="s">
        <v>43</v>
      </c>
      <c r="B19" s="28" t="s">
        <v>44</v>
      </c>
      <c r="C19" s="22">
        <v>18778225000139</v>
      </c>
      <c r="D19" s="23">
        <v>8711.2199999999993</v>
      </c>
      <c r="E19" s="24">
        <f t="shared" ref="E19:E61" si="1">D19/$D$62</f>
        <v>2.7451653410625016E-2</v>
      </c>
      <c r="F19" s="25">
        <f t="shared" ref="F19:F61" si="2">$F$16*E19</f>
        <v>3172.5560152645112</v>
      </c>
      <c r="G19" s="26">
        <f t="shared" ref="G19:G61" si="3">F19*5%</f>
        <v>158.62780076322557</v>
      </c>
      <c r="H19" s="26">
        <f t="shared" si="0"/>
        <v>3331.1838160277366</v>
      </c>
    </row>
    <row r="20" spans="1:12" customFormat="1" x14ac:dyDescent="0.25">
      <c r="A20" s="20" t="s">
        <v>45</v>
      </c>
      <c r="B20" s="28" t="s">
        <v>46</v>
      </c>
      <c r="C20" s="22">
        <v>41993875000119</v>
      </c>
      <c r="D20" s="23">
        <v>3641.8</v>
      </c>
      <c r="E20" s="24">
        <f t="shared" si="1"/>
        <v>1.1476398413863293E-2</v>
      </c>
      <c r="F20" s="25">
        <f t="shared" si="2"/>
        <v>1326.314166832005</v>
      </c>
      <c r="G20" s="26">
        <f t="shared" si="3"/>
        <v>66.315708341600256</v>
      </c>
      <c r="H20" s="26">
        <f t="shared" si="0"/>
        <v>1392.6298751736051</v>
      </c>
    </row>
    <row r="21" spans="1:12" customFormat="1" x14ac:dyDescent="0.25">
      <c r="A21" s="20" t="s">
        <v>47</v>
      </c>
      <c r="B21" s="21" t="s">
        <v>48</v>
      </c>
      <c r="C21" s="22">
        <v>24781302000102</v>
      </c>
      <c r="D21" s="23">
        <v>3430</v>
      </c>
      <c r="E21" s="24">
        <f t="shared" si="1"/>
        <v>1.0808953418515869E-2</v>
      </c>
      <c r="F21" s="25">
        <f t="shared" si="2"/>
        <v>1249.1783162814477</v>
      </c>
      <c r="G21" s="26">
        <f t="shared" si="3"/>
        <v>62.458915814072384</v>
      </c>
      <c r="H21" s="26">
        <f t="shared" si="0"/>
        <v>1311.6372320955202</v>
      </c>
    </row>
    <row r="22" spans="1:12" customFormat="1" x14ac:dyDescent="0.25">
      <c r="A22" s="20" t="s">
        <v>161</v>
      </c>
      <c r="B22" s="21" t="s">
        <v>162</v>
      </c>
      <c r="C22" s="22" t="s">
        <v>163</v>
      </c>
      <c r="D22" s="23">
        <v>9403</v>
      </c>
      <c r="E22" s="24">
        <f t="shared" si="1"/>
        <v>2.9631658598922656E-2</v>
      </c>
      <c r="F22" s="25">
        <f t="shared" si="2"/>
        <v>3424.4967078701029</v>
      </c>
      <c r="G22" s="26">
        <f t="shared" si="3"/>
        <v>171.22483539350515</v>
      </c>
      <c r="H22" s="26">
        <f t="shared" si="0"/>
        <v>3595.7215432636081</v>
      </c>
    </row>
    <row r="23" spans="1:12" customFormat="1" x14ac:dyDescent="0.25">
      <c r="A23" s="20" t="s">
        <v>49</v>
      </c>
      <c r="B23" s="21" t="s">
        <v>50</v>
      </c>
      <c r="C23" s="22">
        <v>38649716000197</v>
      </c>
      <c r="D23" s="23">
        <v>3440</v>
      </c>
      <c r="E23" s="24">
        <f t="shared" si="1"/>
        <v>1.084046640224332E-2</v>
      </c>
      <c r="F23" s="25">
        <f t="shared" si="2"/>
        <v>1252.8202355708979</v>
      </c>
      <c r="G23" s="26">
        <f t="shared" si="3"/>
        <v>62.6410117785449</v>
      </c>
      <c r="H23" s="26">
        <f t="shared" si="0"/>
        <v>1315.4612473494428</v>
      </c>
    </row>
    <row r="24" spans="1:12" customFormat="1" x14ac:dyDescent="0.25">
      <c r="A24" s="20" t="s">
        <v>51</v>
      </c>
      <c r="B24" s="21" t="s">
        <v>52</v>
      </c>
      <c r="C24" s="22" t="s">
        <v>53</v>
      </c>
      <c r="D24" s="23">
        <v>4056</v>
      </c>
      <c r="E24" s="24">
        <f t="shared" si="1"/>
        <v>1.2781666199854333E-2</v>
      </c>
      <c r="F24" s="25">
        <f t="shared" si="2"/>
        <v>1477.1624638010355</v>
      </c>
      <c r="G24" s="26">
        <f t="shared" si="3"/>
        <v>73.858123190051785</v>
      </c>
      <c r="H24" s="26">
        <f t="shared" si="0"/>
        <v>1551.0205869910874</v>
      </c>
    </row>
    <row r="25" spans="1:12" customFormat="1" x14ac:dyDescent="0.25">
      <c r="A25" s="20" t="s">
        <v>54</v>
      </c>
      <c r="B25" s="21" t="s">
        <v>55</v>
      </c>
      <c r="C25" s="22" t="s">
        <v>56</v>
      </c>
      <c r="D25" s="23">
        <v>11580</v>
      </c>
      <c r="E25" s="24">
        <f t="shared" si="1"/>
        <v>3.6492035156388852E-2</v>
      </c>
      <c r="F25" s="25">
        <f t="shared" si="2"/>
        <v>4217.3425371834301</v>
      </c>
      <c r="G25" s="26">
        <f t="shared" si="3"/>
        <v>210.86712685917152</v>
      </c>
      <c r="H25" s="26">
        <f t="shared" si="0"/>
        <v>4428.2096640426016</v>
      </c>
    </row>
    <row r="26" spans="1:12" customFormat="1" x14ac:dyDescent="0.25">
      <c r="A26" s="20" t="s">
        <v>57</v>
      </c>
      <c r="B26" s="21" t="s">
        <v>58</v>
      </c>
      <c r="C26" s="22" t="s">
        <v>178</v>
      </c>
      <c r="D26" s="23">
        <f>360+360+1510</f>
        <v>2230</v>
      </c>
      <c r="E26" s="24">
        <f t="shared" si="1"/>
        <v>7.0273953712216876E-3</v>
      </c>
      <c r="F26" s="25">
        <f t="shared" si="2"/>
        <v>812.14800154741351</v>
      </c>
      <c r="G26" s="26">
        <f t="shared" si="3"/>
        <v>40.607400077370677</v>
      </c>
      <c r="H26" s="26">
        <f t="shared" si="0"/>
        <v>852.75540162478421</v>
      </c>
    </row>
    <row r="27" spans="1:12" s="33" customFormat="1" ht="15.75" customHeight="1" x14ac:dyDescent="0.25">
      <c r="A27" s="20" t="s">
        <v>60</v>
      </c>
      <c r="B27" s="29" t="s">
        <v>61</v>
      </c>
      <c r="C27" s="30" t="s">
        <v>62</v>
      </c>
      <c r="D27" s="23">
        <f>5224+3930</f>
        <v>9154</v>
      </c>
      <c r="E27" s="24">
        <f t="shared" si="1"/>
        <v>2.8846985304109115E-2</v>
      </c>
      <c r="F27" s="25">
        <f t="shared" si="2"/>
        <v>3333.812917562791</v>
      </c>
      <c r="G27" s="26">
        <f t="shared" si="3"/>
        <v>166.69064587813955</v>
      </c>
      <c r="H27" s="31">
        <f t="shared" si="0"/>
        <v>3500.5035634409305</v>
      </c>
      <c r="I27" s="32" t="s">
        <v>63</v>
      </c>
      <c r="L27" s="33" t="s">
        <v>64</v>
      </c>
    </row>
    <row r="28" spans="1:12" customFormat="1" ht="15.75" customHeight="1" x14ac:dyDescent="0.25">
      <c r="A28" s="20" t="s">
        <v>65</v>
      </c>
      <c r="B28" s="28" t="s">
        <v>66</v>
      </c>
      <c r="C28" s="22" t="s">
        <v>67</v>
      </c>
      <c r="D28" s="23">
        <v>2610</v>
      </c>
      <c r="E28" s="24">
        <f t="shared" si="1"/>
        <v>8.2248887528648448E-3</v>
      </c>
      <c r="F28" s="25">
        <f t="shared" si="2"/>
        <v>950.54093454652434</v>
      </c>
      <c r="G28" s="26">
        <f t="shared" si="3"/>
        <v>47.527046727326223</v>
      </c>
      <c r="H28" s="26">
        <f t="shared" si="0"/>
        <v>998.06798127385059</v>
      </c>
    </row>
    <row r="29" spans="1:12" customFormat="1" ht="15.75" customHeight="1" x14ac:dyDescent="0.25">
      <c r="A29" s="20" t="s">
        <v>68</v>
      </c>
      <c r="B29" s="28" t="s">
        <v>69</v>
      </c>
      <c r="C29" s="22" t="s">
        <v>70</v>
      </c>
      <c r="D29" s="23">
        <v>5515</v>
      </c>
      <c r="E29" s="24">
        <f t="shared" si="1"/>
        <v>1.7379410525689511E-2</v>
      </c>
      <c r="F29" s="25">
        <f t="shared" si="2"/>
        <v>2008.5184881318323</v>
      </c>
      <c r="G29" s="26">
        <f t="shared" si="3"/>
        <v>100.42592440659162</v>
      </c>
      <c r="H29" s="26">
        <f t="shared" si="0"/>
        <v>2108.9444125384239</v>
      </c>
    </row>
    <row r="30" spans="1:12" customFormat="1" ht="15.75" customHeight="1" x14ac:dyDescent="0.25">
      <c r="A30" s="20" t="s">
        <v>71</v>
      </c>
      <c r="B30" s="21" t="s">
        <v>72</v>
      </c>
      <c r="C30" s="22">
        <v>17202383000183</v>
      </c>
      <c r="D30" s="23">
        <v>15332</v>
      </c>
      <c r="E30" s="24">
        <f t="shared" si="1"/>
        <v>4.8315706650928658E-2</v>
      </c>
      <c r="F30" s="25">
        <f t="shared" si="2"/>
        <v>5583.7906545851765</v>
      </c>
      <c r="G30" s="26">
        <f t="shared" si="3"/>
        <v>279.18953272925881</v>
      </c>
      <c r="H30" s="26">
        <f t="shared" si="0"/>
        <v>5862.9801873144352</v>
      </c>
    </row>
    <row r="31" spans="1:12" customFormat="1" ht="15.75" customHeight="1" x14ac:dyDescent="0.25">
      <c r="A31" s="20" t="s">
        <v>73</v>
      </c>
      <c r="B31" s="21" t="s">
        <v>74</v>
      </c>
      <c r="C31" s="22">
        <v>18183488000103</v>
      </c>
      <c r="D31" s="23">
        <v>7238</v>
      </c>
      <c r="E31" s="24">
        <f t="shared" si="1"/>
        <v>2.2809097621929404E-2</v>
      </c>
      <c r="F31" s="25">
        <f t="shared" si="2"/>
        <v>2636.0211817041163</v>
      </c>
      <c r="G31" s="26">
        <f t="shared" si="3"/>
        <v>131.80105908520582</v>
      </c>
      <c r="H31" s="26">
        <f t="shared" si="0"/>
        <v>2767.8222407893222</v>
      </c>
    </row>
    <row r="32" spans="1:12" customFormat="1" x14ac:dyDescent="0.25">
      <c r="A32" s="20" t="s">
        <v>75</v>
      </c>
      <c r="B32" s="21" t="s">
        <v>76</v>
      </c>
      <c r="C32" s="22">
        <v>18244070000150</v>
      </c>
      <c r="D32" s="23">
        <v>5941</v>
      </c>
      <c r="E32" s="24">
        <f t="shared" si="1"/>
        <v>1.8721863632478943E-2</v>
      </c>
      <c r="F32" s="25">
        <f t="shared" si="2"/>
        <v>2163.6642498624142</v>
      </c>
      <c r="G32" s="26">
        <f t="shared" si="3"/>
        <v>108.18321249312072</v>
      </c>
      <c r="H32" s="26">
        <f t="shared" si="0"/>
        <v>2271.8474623555348</v>
      </c>
    </row>
    <row r="33" spans="1:12" customFormat="1" x14ac:dyDescent="0.25">
      <c r="A33" s="20" t="s">
        <v>77</v>
      </c>
      <c r="B33" s="21" t="s">
        <v>78</v>
      </c>
      <c r="C33" s="22">
        <v>18244039000110</v>
      </c>
      <c r="D33" s="23">
        <v>4460</v>
      </c>
      <c r="E33" s="24">
        <f t="shared" si="1"/>
        <v>1.4054790742443375E-2</v>
      </c>
      <c r="F33" s="25">
        <f t="shared" si="2"/>
        <v>1624.296003094827</v>
      </c>
      <c r="G33" s="26">
        <f t="shared" si="3"/>
        <v>81.214800154741354</v>
      </c>
      <c r="H33" s="26">
        <f t="shared" si="0"/>
        <v>1705.5108032495684</v>
      </c>
    </row>
    <row r="34" spans="1:12" customFormat="1" x14ac:dyDescent="0.25">
      <c r="A34" s="20" t="s">
        <v>79</v>
      </c>
      <c r="B34" s="21" t="s">
        <v>153</v>
      </c>
      <c r="C34" s="22" t="s">
        <v>154</v>
      </c>
      <c r="D34" s="23">
        <v>4415</v>
      </c>
      <c r="E34" s="24">
        <f t="shared" si="1"/>
        <v>1.3912982315669844E-2</v>
      </c>
      <c r="F34" s="25">
        <f t="shared" si="2"/>
        <v>1607.9073662923008</v>
      </c>
      <c r="G34" s="26">
        <f t="shared" si="3"/>
        <v>80.395368314615041</v>
      </c>
      <c r="H34" s="26">
        <f t="shared" si="0"/>
        <v>1688.3027346069159</v>
      </c>
    </row>
    <row r="35" spans="1:12" customFormat="1" x14ac:dyDescent="0.25">
      <c r="A35" s="20" t="s">
        <v>81</v>
      </c>
      <c r="B35" s="21" t="s">
        <v>82</v>
      </c>
      <c r="C35" s="22" t="s">
        <v>83</v>
      </c>
      <c r="D35" s="23">
        <v>8673</v>
      </c>
      <c r="E35" s="24">
        <f t="shared" si="1"/>
        <v>2.7331210786818699E-2</v>
      </c>
      <c r="F35" s="25">
        <f t="shared" si="2"/>
        <v>3158.6365997402322</v>
      </c>
      <c r="G35" s="26">
        <f t="shared" si="3"/>
        <v>157.93182998701161</v>
      </c>
      <c r="H35" s="26">
        <f t="shared" si="0"/>
        <v>3316.5684297272437</v>
      </c>
    </row>
    <row r="36" spans="1:12" customFormat="1" x14ac:dyDescent="0.25">
      <c r="A36" s="20" t="s">
        <v>84</v>
      </c>
      <c r="B36" s="21" t="s">
        <v>155</v>
      </c>
      <c r="C36" s="22" t="s">
        <v>86</v>
      </c>
      <c r="D36" s="23">
        <v>9239</v>
      </c>
      <c r="E36" s="24">
        <f t="shared" si="1"/>
        <v>2.9114845665792453E-2</v>
      </c>
      <c r="F36" s="25">
        <f t="shared" si="2"/>
        <v>3364.7692315231184</v>
      </c>
      <c r="G36" s="26">
        <f t="shared" si="3"/>
        <v>168.23846157615594</v>
      </c>
      <c r="H36" s="26">
        <f t="shared" si="0"/>
        <v>3533.0076930992745</v>
      </c>
    </row>
    <row r="37" spans="1:12" customFormat="1" x14ac:dyDescent="0.25">
      <c r="A37" s="20" t="s">
        <v>87</v>
      </c>
      <c r="B37" s="21" t="s">
        <v>88</v>
      </c>
      <c r="C37" s="22" t="s">
        <v>89</v>
      </c>
      <c r="D37" s="23">
        <v>4892</v>
      </c>
      <c r="E37" s="24">
        <f t="shared" si="1"/>
        <v>1.5416151639469281E-2</v>
      </c>
      <c r="F37" s="25">
        <f t="shared" si="2"/>
        <v>1781.6269163990794</v>
      </c>
      <c r="G37" s="26">
        <f t="shared" si="3"/>
        <v>89.081345819953981</v>
      </c>
      <c r="H37" s="26">
        <f t="shared" si="0"/>
        <v>1870.7082622190333</v>
      </c>
    </row>
    <row r="38" spans="1:12" customFormat="1" x14ac:dyDescent="0.25">
      <c r="A38" s="20" t="s">
        <v>90</v>
      </c>
      <c r="B38" s="21" t="s">
        <v>91</v>
      </c>
      <c r="C38" s="22">
        <v>41497649000147</v>
      </c>
      <c r="D38" s="23">
        <v>2526</v>
      </c>
      <c r="E38" s="24">
        <f t="shared" si="1"/>
        <v>7.9601796895542518E-3</v>
      </c>
      <c r="F38" s="25">
        <f t="shared" si="2"/>
        <v>919.94881251514198</v>
      </c>
      <c r="G38" s="26">
        <f t="shared" si="3"/>
        <v>45.9974406257571</v>
      </c>
      <c r="H38" s="26">
        <f t="shared" si="0"/>
        <v>965.9462531408991</v>
      </c>
    </row>
    <row r="39" spans="1:12" customFormat="1" x14ac:dyDescent="0.25">
      <c r="A39" s="20" t="s">
        <v>92</v>
      </c>
      <c r="B39" s="21" t="s">
        <v>93</v>
      </c>
      <c r="C39" s="22">
        <v>40580071000125</v>
      </c>
      <c r="D39" s="23">
        <v>3600</v>
      </c>
      <c r="E39" s="24">
        <f t="shared" si="1"/>
        <v>1.1344674141882545E-2</v>
      </c>
      <c r="F39" s="25">
        <f t="shared" si="2"/>
        <v>1311.0909442021025</v>
      </c>
      <c r="G39" s="26">
        <f t="shared" si="3"/>
        <v>65.554547210105127</v>
      </c>
      <c r="H39" s="26">
        <f t="shared" si="0"/>
        <v>1376.6454914122075</v>
      </c>
      <c r="I39" s="32" t="s">
        <v>63</v>
      </c>
      <c r="L39" t="s">
        <v>94</v>
      </c>
    </row>
    <row r="40" spans="1:12" customFormat="1" x14ac:dyDescent="0.25">
      <c r="A40" s="20" t="s">
        <v>95</v>
      </c>
      <c r="B40" s="21" t="s">
        <v>96</v>
      </c>
      <c r="C40" s="22" t="s">
        <v>97</v>
      </c>
      <c r="D40" s="23">
        <v>3938</v>
      </c>
      <c r="E40" s="24">
        <f t="shared" si="1"/>
        <v>1.2409812991870406E-2</v>
      </c>
      <c r="F40" s="25">
        <f t="shared" si="2"/>
        <v>1434.1878161855223</v>
      </c>
      <c r="G40" s="26">
        <f t="shared" si="3"/>
        <v>71.709390809276115</v>
      </c>
      <c r="H40" s="26">
        <f t="shared" si="0"/>
        <v>1505.8972069947984</v>
      </c>
    </row>
    <row r="41" spans="1:12" customFormat="1" x14ac:dyDescent="0.25">
      <c r="A41" s="20" t="s">
        <v>98</v>
      </c>
      <c r="B41" s="21" t="s">
        <v>167</v>
      </c>
      <c r="C41" s="22" t="s">
        <v>168</v>
      </c>
      <c r="D41" s="23">
        <v>3707</v>
      </c>
      <c r="E41" s="24">
        <f t="shared" si="1"/>
        <v>1.1681863067766276E-2</v>
      </c>
      <c r="F41" s="25">
        <f t="shared" si="2"/>
        <v>1350.0594805992207</v>
      </c>
      <c r="G41" s="26">
        <f t="shared" si="3"/>
        <v>67.502974029961038</v>
      </c>
      <c r="H41" s="26">
        <f t="shared" si="0"/>
        <v>1417.5624546291817</v>
      </c>
    </row>
    <row r="42" spans="1:12" customFormat="1" x14ac:dyDescent="0.25">
      <c r="A42" s="20" t="s">
        <v>100</v>
      </c>
      <c r="B42" s="21" t="s">
        <v>101</v>
      </c>
      <c r="C42" s="22">
        <v>42109766000159</v>
      </c>
      <c r="D42" s="23">
        <v>5117</v>
      </c>
      <c r="E42" s="24">
        <f t="shared" si="1"/>
        <v>1.6125193773336939E-2</v>
      </c>
      <c r="F42" s="25">
        <f t="shared" si="2"/>
        <v>1863.5701004117109</v>
      </c>
      <c r="G42" s="26">
        <f t="shared" si="3"/>
        <v>93.178505020585547</v>
      </c>
      <c r="H42" s="26">
        <f t="shared" si="0"/>
        <v>1956.7486054322965</v>
      </c>
    </row>
    <row r="43" spans="1:12" customFormat="1" x14ac:dyDescent="0.25">
      <c r="A43" s="20" t="s">
        <v>102</v>
      </c>
      <c r="B43" s="21" t="s">
        <v>99</v>
      </c>
      <c r="C43" s="22">
        <v>18788190000119</v>
      </c>
      <c r="D43" s="23">
        <v>14717</v>
      </c>
      <c r="E43" s="24">
        <f t="shared" si="1"/>
        <v>4.6377658151690392E-2</v>
      </c>
      <c r="F43" s="25">
        <f t="shared" si="2"/>
        <v>5359.8126182839842</v>
      </c>
      <c r="G43" s="26">
        <f t="shared" si="3"/>
        <v>267.99063091419924</v>
      </c>
      <c r="H43" s="26">
        <f t="shared" si="0"/>
        <v>5627.803249198183</v>
      </c>
    </row>
    <row r="44" spans="1:12" customFormat="1" ht="13.5" customHeight="1" x14ac:dyDescent="0.25">
      <c r="A44" s="20" t="s">
        <v>103</v>
      </c>
      <c r="B44" s="21" t="s">
        <v>104</v>
      </c>
      <c r="C44" s="22">
        <v>32302613000170</v>
      </c>
      <c r="D44" s="23">
        <v>5439</v>
      </c>
      <c r="E44" s="24">
        <f t="shared" si="1"/>
        <v>1.7139911849360877E-2</v>
      </c>
      <c r="F44" s="25">
        <f t="shared" si="2"/>
        <v>1980.8399015320099</v>
      </c>
      <c r="G44" s="26">
        <f t="shared" si="3"/>
        <v>99.0419950766005</v>
      </c>
      <c r="H44" s="26">
        <f t="shared" si="0"/>
        <v>2079.8818966086105</v>
      </c>
    </row>
    <row r="45" spans="1:12" customFormat="1" x14ac:dyDescent="0.25">
      <c r="A45" s="20" t="s">
        <v>105</v>
      </c>
      <c r="B45" s="21" t="s">
        <v>106</v>
      </c>
      <c r="C45" s="22">
        <v>28616552000148</v>
      </c>
      <c r="D45" s="23">
        <v>4123.71</v>
      </c>
      <c r="E45" s="24">
        <f t="shared" si="1"/>
        <v>1.2995040612672908E-2</v>
      </c>
      <c r="F45" s="25">
        <f t="shared" si="2"/>
        <v>1501.8218993099035</v>
      </c>
      <c r="G45" s="26">
        <f t="shared" si="3"/>
        <v>75.091094965495174</v>
      </c>
      <c r="H45" s="26">
        <f t="shared" si="0"/>
        <v>1576.9129942753987</v>
      </c>
    </row>
    <row r="46" spans="1:12" customFormat="1" x14ac:dyDescent="0.25">
      <c r="A46" s="20" t="s">
        <v>107</v>
      </c>
      <c r="B46" s="21" t="s">
        <v>108</v>
      </c>
      <c r="C46" s="22">
        <v>42579914000107</v>
      </c>
      <c r="D46" s="23">
        <v>4986.3599999999997</v>
      </c>
      <c r="E46" s="24">
        <f t="shared" si="1"/>
        <v>1.5713508153921512E-2</v>
      </c>
      <c r="F46" s="25">
        <f t="shared" si="2"/>
        <v>1815.9920668143322</v>
      </c>
      <c r="G46" s="26">
        <f t="shared" si="3"/>
        <v>90.799603340716615</v>
      </c>
      <c r="H46" s="26">
        <f t="shared" si="0"/>
        <v>1906.7916701550489</v>
      </c>
    </row>
    <row r="47" spans="1:12" customFormat="1" x14ac:dyDescent="0.25">
      <c r="A47" s="20" t="s">
        <v>109</v>
      </c>
      <c r="B47" s="21" t="s">
        <v>110</v>
      </c>
      <c r="C47" s="22" t="s">
        <v>111</v>
      </c>
      <c r="D47" s="23">
        <v>7462</v>
      </c>
      <c r="E47" s="24">
        <f t="shared" si="1"/>
        <v>2.3514988457424318E-2</v>
      </c>
      <c r="F47" s="25">
        <f t="shared" si="2"/>
        <v>2717.6001737878023</v>
      </c>
      <c r="G47" s="26">
        <f t="shared" si="3"/>
        <v>135.88000868939011</v>
      </c>
      <c r="H47" s="26">
        <f t="shared" si="0"/>
        <v>2853.4801824771926</v>
      </c>
      <c r="J47" s="44"/>
    </row>
    <row r="48" spans="1:12" customFormat="1" x14ac:dyDescent="0.25">
      <c r="A48" s="20" t="s">
        <v>112</v>
      </c>
      <c r="B48" s="21" t="s">
        <v>113</v>
      </c>
      <c r="C48" s="22" t="s">
        <v>114</v>
      </c>
      <c r="D48" s="23">
        <v>5525</v>
      </c>
      <c r="E48" s="24">
        <f t="shared" si="1"/>
        <v>1.7410923509416962E-2</v>
      </c>
      <c r="F48" s="25">
        <f t="shared" si="2"/>
        <v>2012.1604074212826</v>
      </c>
      <c r="G48" s="26">
        <f t="shared" si="3"/>
        <v>100.60802037106413</v>
      </c>
      <c r="H48" s="26">
        <f t="shared" si="0"/>
        <v>2112.7684277923468</v>
      </c>
    </row>
    <row r="49" spans="1:8" customFormat="1" x14ac:dyDescent="0.25">
      <c r="A49" s="20" t="s">
        <v>186</v>
      </c>
      <c r="B49" s="21" t="s">
        <v>187</v>
      </c>
      <c r="C49" s="22" t="s">
        <v>188</v>
      </c>
      <c r="D49" s="23">
        <f>6188.23+4126.33</f>
        <v>10314.56</v>
      </c>
      <c r="E49" s="24">
        <f t="shared" si="1"/>
        <v>3.2504256143582225E-2</v>
      </c>
      <c r="F49" s="25">
        <f t="shared" si="2"/>
        <v>3756.4795026192328</v>
      </c>
      <c r="G49" s="26">
        <f>F49*5%</f>
        <v>187.82397513096166</v>
      </c>
      <c r="H49" s="26">
        <f>F49+G49</f>
        <v>3944.3034777501944</v>
      </c>
    </row>
    <row r="50" spans="1:8" customFormat="1" x14ac:dyDescent="0.25">
      <c r="A50" s="20" t="s">
        <v>115</v>
      </c>
      <c r="B50" s="21" t="s">
        <v>116</v>
      </c>
      <c r="C50" s="22">
        <v>26480299000112</v>
      </c>
      <c r="D50" s="23"/>
      <c r="E50" s="24">
        <f t="shared" si="1"/>
        <v>0</v>
      </c>
      <c r="F50" s="25">
        <f t="shared" si="2"/>
        <v>0</v>
      </c>
      <c r="G50" s="26">
        <f t="shared" si="3"/>
        <v>0</v>
      </c>
      <c r="H50" s="26">
        <f t="shared" si="0"/>
        <v>0</v>
      </c>
    </row>
    <row r="51" spans="1:8" customFormat="1" x14ac:dyDescent="0.25">
      <c r="A51" s="20" t="s">
        <v>179</v>
      </c>
      <c r="B51" s="21" t="s">
        <v>180</v>
      </c>
      <c r="C51" s="22" t="s">
        <v>181</v>
      </c>
      <c r="D51" s="23">
        <v>11302</v>
      </c>
      <c r="E51" s="24">
        <f t="shared" si="1"/>
        <v>3.5615974208765701E-2</v>
      </c>
      <c r="F51" s="25">
        <f t="shared" si="2"/>
        <v>4116.097180936712</v>
      </c>
      <c r="G51" s="26">
        <f t="shared" si="3"/>
        <v>205.80485904683562</v>
      </c>
      <c r="H51" s="26">
        <f t="shared" si="0"/>
        <v>4321.9020399835472</v>
      </c>
    </row>
    <row r="52" spans="1:8" customFormat="1" x14ac:dyDescent="0.25">
      <c r="A52" s="20" t="s">
        <v>117</v>
      </c>
      <c r="B52" s="21" t="s">
        <v>118</v>
      </c>
      <c r="C52" s="22" t="s">
        <v>119</v>
      </c>
      <c r="D52" s="23">
        <v>4943</v>
      </c>
      <c r="E52" s="24">
        <f t="shared" si="1"/>
        <v>1.5576867856479283E-2</v>
      </c>
      <c r="F52" s="25">
        <f t="shared" si="2"/>
        <v>1800.2007047752759</v>
      </c>
      <c r="G52" s="26">
        <f t="shared" si="3"/>
        <v>90.010035238763805</v>
      </c>
      <c r="H52" s="26">
        <f t="shared" si="0"/>
        <v>1890.2107400140396</v>
      </c>
    </row>
    <row r="53" spans="1:8" customFormat="1" x14ac:dyDescent="0.25">
      <c r="A53" s="20" t="s">
        <v>120</v>
      </c>
      <c r="B53" s="21" t="s">
        <v>121</v>
      </c>
      <c r="C53" s="22">
        <v>12997366000166</v>
      </c>
      <c r="D53" s="23">
        <v>5160</v>
      </c>
      <c r="E53" s="24">
        <f t="shared" si="1"/>
        <v>1.6260699603364979E-2</v>
      </c>
      <c r="F53" s="25">
        <f t="shared" si="2"/>
        <v>1879.230353356347</v>
      </c>
      <c r="G53" s="26">
        <f t="shared" si="3"/>
        <v>93.961517667817361</v>
      </c>
      <c r="H53" s="26">
        <f t="shared" si="0"/>
        <v>1973.1918710241644</v>
      </c>
    </row>
    <row r="54" spans="1:8" customFormat="1" ht="16.5" customHeight="1" x14ac:dyDescent="0.25">
      <c r="A54" s="20" t="s">
        <v>122</v>
      </c>
      <c r="B54" s="21" t="s">
        <v>123</v>
      </c>
      <c r="C54" s="22" t="s">
        <v>124</v>
      </c>
      <c r="D54" s="23">
        <v>6586</v>
      </c>
      <c r="E54" s="24">
        <f t="shared" si="1"/>
        <v>2.0754451082899566E-2</v>
      </c>
      <c r="F54" s="25">
        <f t="shared" si="2"/>
        <v>2398.5680440319575</v>
      </c>
      <c r="G54" s="26">
        <f t="shared" si="3"/>
        <v>119.92840220159788</v>
      </c>
      <c r="H54" s="26">
        <f t="shared" si="0"/>
        <v>2518.4964462335552</v>
      </c>
    </row>
    <row r="55" spans="1:8" customFormat="1" x14ac:dyDescent="0.25">
      <c r="A55" s="20" t="s">
        <v>125</v>
      </c>
      <c r="B55" s="86" t="s">
        <v>126</v>
      </c>
      <c r="C55" s="22">
        <v>11884518000151</v>
      </c>
      <c r="D55" s="23">
        <v>5644</v>
      </c>
      <c r="E55" s="24">
        <f t="shared" si="1"/>
        <v>1.7785928015773635E-2</v>
      </c>
      <c r="F55" s="25">
        <f t="shared" si="2"/>
        <v>2055.4992469657409</v>
      </c>
      <c r="G55" s="26">
        <f t="shared" si="3"/>
        <v>102.77496234828705</v>
      </c>
      <c r="H55" s="26">
        <f t="shared" si="0"/>
        <v>2158.2742093140278</v>
      </c>
    </row>
    <row r="56" spans="1:8" customFormat="1" x14ac:dyDescent="0.25">
      <c r="A56" s="20" t="s">
        <v>127</v>
      </c>
      <c r="B56" s="86" t="s">
        <v>128</v>
      </c>
      <c r="C56" s="22">
        <v>36188051000136</v>
      </c>
      <c r="D56" s="23">
        <v>6936</v>
      </c>
      <c r="E56" s="24">
        <f t="shared" si="1"/>
        <v>2.1857405513360368E-2</v>
      </c>
      <c r="F56" s="25">
        <f t="shared" si="2"/>
        <v>2526.0352191627176</v>
      </c>
      <c r="G56" s="26">
        <f t="shared" si="3"/>
        <v>126.30176095813589</v>
      </c>
      <c r="H56" s="26">
        <f t="shared" si="0"/>
        <v>2652.3369801208532</v>
      </c>
    </row>
    <row r="57" spans="1:8" customFormat="1" x14ac:dyDescent="0.25">
      <c r="A57" s="20" t="s">
        <v>129</v>
      </c>
      <c r="B57" s="86" t="s">
        <v>130</v>
      </c>
      <c r="C57" s="22" t="s">
        <v>131</v>
      </c>
      <c r="D57" s="23">
        <f>7425*40%</f>
        <v>2970</v>
      </c>
      <c r="E57" s="24">
        <f t="shared" si="1"/>
        <v>9.3593561670530998E-3</v>
      </c>
      <c r="F57" s="25">
        <f t="shared" si="2"/>
        <v>1081.6500289667347</v>
      </c>
      <c r="G57" s="26">
        <f t="shared" si="3"/>
        <v>54.082501448336735</v>
      </c>
      <c r="H57" s="26">
        <f t="shared" si="0"/>
        <v>1135.7325304150713</v>
      </c>
    </row>
    <row r="58" spans="1:8" customFormat="1" x14ac:dyDescent="0.25">
      <c r="A58" s="20" t="s">
        <v>132</v>
      </c>
      <c r="B58" s="86" t="s">
        <v>133</v>
      </c>
      <c r="C58" s="22">
        <v>18741082000190</v>
      </c>
      <c r="D58" s="23">
        <v>12183</v>
      </c>
      <c r="E58" s="24">
        <f t="shared" si="1"/>
        <v>3.8392268075154175E-2</v>
      </c>
      <c r="F58" s="25">
        <f t="shared" si="2"/>
        <v>4436.9502703372818</v>
      </c>
      <c r="G58" s="26">
        <f t="shared" si="3"/>
        <v>221.8475135168641</v>
      </c>
      <c r="H58" s="26">
        <f t="shared" si="0"/>
        <v>4658.7977838541456</v>
      </c>
    </row>
    <row r="59" spans="1:8" customFormat="1" x14ac:dyDescent="0.25">
      <c r="A59" s="20" t="s">
        <v>134</v>
      </c>
      <c r="B59" s="86" t="s">
        <v>135</v>
      </c>
      <c r="C59" s="22" t="s">
        <v>136</v>
      </c>
      <c r="D59" s="23">
        <v>4814</v>
      </c>
      <c r="E59" s="24">
        <f t="shared" si="1"/>
        <v>1.5170350366395158E-2</v>
      </c>
      <c r="F59" s="25">
        <f t="shared" si="2"/>
        <v>1753.2199459413671</v>
      </c>
      <c r="G59" s="26">
        <f t="shared" si="3"/>
        <v>87.660997297068363</v>
      </c>
      <c r="H59" s="26">
        <f t="shared" si="0"/>
        <v>1840.8809432384355</v>
      </c>
    </row>
    <row r="60" spans="1:8" customFormat="1" x14ac:dyDescent="0.25">
      <c r="A60" s="20" t="s">
        <v>137</v>
      </c>
      <c r="B60" s="86" t="s">
        <v>138</v>
      </c>
      <c r="C60" s="22" t="s">
        <v>139</v>
      </c>
      <c r="D60" s="23">
        <v>3476.86</v>
      </c>
      <c r="E60" s="24">
        <f t="shared" si="1"/>
        <v>1.0956623260262708E-2</v>
      </c>
      <c r="F60" s="25">
        <f t="shared" si="2"/>
        <v>1266.2443500718118</v>
      </c>
      <c r="G60" s="26">
        <f t="shared" si="3"/>
        <v>63.312217503590595</v>
      </c>
      <c r="H60" s="26">
        <f t="shared" si="0"/>
        <v>1329.5565675754024</v>
      </c>
    </row>
    <row r="61" spans="1:8" customFormat="1" x14ac:dyDescent="0.25">
      <c r="A61" s="20" t="s">
        <v>140</v>
      </c>
      <c r="B61" s="28" t="s">
        <v>141</v>
      </c>
      <c r="C61" s="22">
        <v>11884518000151</v>
      </c>
      <c r="D61" s="23">
        <f>81377.44-14717-3314-9239-9403+9177.57</f>
        <v>53882.01</v>
      </c>
      <c r="E61" s="24">
        <f t="shared" si="1"/>
        <v>0.16979829043323796</v>
      </c>
      <c r="F61" s="25">
        <f t="shared" si="2"/>
        <v>19623.393157335315</v>
      </c>
      <c r="G61" s="26">
        <f t="shared" si="3"/>
        <v>981.16965786676576</v>
      </c>
      <c r="H61" s="26">
        <f t="shared" si="0"/>
        <v>20604.56281520208</v>
      </c>
    </row>
    <row r="62" spans="1:8" customFormat="1" x14ac:dyDescent="0.25">
      <c r="A62" s="34"/>
      <c r="B62" s="35"/>
      <c r="C62" s="36" t="s">
        <v>142</v>
      </c>
      <c r="D62" s="37">
        <f>SUM(D18:D61)</f>
        <v>317329.52</v>
      </c>
      <c r="E62" s="38">
        <f>SUM(E18:E61)</f>
        <v>0.99999999999999978</v>
      </c>
      <c r="F62" s="98">
        <f>SUM(F18:F61)</f>
        <v>115568.84999999999</v>
      </c>
      <c r="G62" s="98">
        <f>SUM(G18:G61)</f>
        <v>5778.4425000000001</v>
      </c>
      <c r="H62" s="99">
        <f>SUM(H18:H61)</f>
        <v>121347.29249999995</v>
      </c>
    </row>
    <row r="63" spans="1:8" customFormat="1" x14ac:dyDescent="0.25">
      <c r="D63" s="44"/>
      <c r="F63" s="41"/>
    </row>
    <row r="64" spans="1:8" customFormat="1" x14ac:dyDescent="0.25">
      <c r="F64" s="41"/>
    </row>
    <row r="65" spans="4:8" customFormat="1" x14ac:dyDescent="0.25">
      <c r="D65" s="44"/>
      <c r="E65" s="41"/>
      <c r="H65" s="42"/>
    </row>
    <row r="66" spans="4:8" customFormat="1" x14ac:dyDescent="0.25">
      <c r="E66" s="41"/>
    </row>
    <row r="67" spans="4:8" customFormat="1" x14ac:dyDescent="0.25"/>
    <row r="68" spans="4:8" customFormat="1" x14ac:dyDescent="0.25"/>
    <row r="69" spans="4:8" customFormat="1" x14ac:dyDescent="0.25"/>
    <row r="70" spans="4:8" customFormat="1" x14ac:dyDescent="0.25"/>
    <row r="71" spans="4:8" customFormat="1" x14ac:dyDescent="0.25"/>
    <row r="72" spans="4:8" customFormat="1" x14ac:dyDescent="0.25"/>
    <row r="73" spans="4:8" customFormat="1" x14ac:dyDescent="0.25"/>
    <row r="74" spans="4:8" customFormat="1" x14ac:dyDescent="0.25"/>
    <row r="75" spans="4:8" customFormat="1" x14ac:dyDescent="0.25"/>
    <row r="76" spans="4:8" customFormat="1" x14ac:dyDescent="0.25"/>
    <row r="77" spans="4:8" customFormat="1" x14ac:dyDescent="0.25"/>
    <row r="78" spans="4:8" customFormat="1" x14ac:dyDescent="0.25"/>
    <row r="79" spans="4:8" customFormat="1" x14ac:dyDescent="0.25"/>
    <row r="80" spans="4:8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spans="1:8" customFormat="1" x14ac:dyDescent="0.25"/>
    <row r="146" spans="1:8" customFormat="1" x14ac:dyDescent="0.25">
      <c r="A146" s="100"/>
      <c r="B146" s="100"/>
      <c r="C146" s="100"/>
      <c r="D146" s="100"/>
      <c r="E146" s="100"/>
    </row>
    <row r="147" spans="1:8" x14ac:dyDescent="0.25">
      <c r="F147"/>
      <c r="G147"/>
      <c r="H147"/>
    </row>
    <row r="148" spans="1:8" x14ac:dyDescent="0.25">
      <c r="F148"/>
      <c r="G148"/>
      <c r="H148"/>
    </row>
    <row r="149" spans="1:8" x14ac:dyDescent="0.25">
      <c r="F149"/>
      <c r="G149"/>
      <c r="H149"/>
    </row>
    <row r="150" spans="1:8" x14ac:dyDescent="0.25">
      <c r="F150"/>
      <c r="G150"/>
      <c r="H150"/>
    </row>
    <row r="151" spans="1:8" x14ac:dyDescent="0.25">
      <c r="F151"/>
      <c r="G151"/>
      <c r="H151"/>
    </row>
    <row r="152" spans="1:8" x14ac:dyDescent="0.25">
      <c r="F152"/>
      <c r="G152"/>
      <c r="H152"/>
    </row>
    <row r="153" spans="1:8" x14ac:dyDescent="0.25">
      <c r="F153"/>
      <c r="G153"/>
      <c r="H153"/>
    </row>
    <row r="154" spans="1:8" x14ac:dyDescent="0.25">
      <c r="F154"/>
      <c r="G154"/>
      <c r="H154"/>
    </row>
    <row r="155" spans="1:8" x14ac:dyDescent="0.25">
      <c r="F155"/>
      <c r="G155"/>
      <c r="H155"/>
    </row>
    <row r="156" spans="1:8" x14ac:dyDescent="0.25">
      <c r="F156"/>
      <c r="G156"/>
      <c r="H156"/>
    </row>
    <row r="157" spans="1:8" x14ac:dyDescent="0.25">
      <c r="F157"/>
      <c r="G157"/>
      <c r="H157"/>
    </row>
    <row r="158" spans="1:8" x14ac:dyDescent="0.25">
      <c r="F158"/>
      <c r="G158"/>
      <c r="H158"/>
    </row>
    <row r="159" spans="1:8" x14ac:dyDescent="0.25">
      <c r="F159"/>
      <c r="G159"/>
      <c r="H159"/>
    </row>
    <row r="160" spans="1:8" x14ac:dyDescent="0.25">
      <c r="F160"/>
      <c r="G160"/>
      <c r="H160"/>
    </row>
    <row r="161" spans="6:8" x14ac:dyDescent="0.25">
      <c r="F161"/>
      <c r="G161"/>
      <c r="H161"/>
    </row>
    <row r="162" spans="6:8" x14ac:dyDescent="0.25">
      <c r="F162"/>
      <c r="G162"/>
      <c r="H162"/>
    </row>
    <row r="163" spans="6:8" x14ac:dyDescent="0.25">
      <c r="F163"/>
      <c r="G163"/>
      <c r="H163"/>
    </row>
    <row r="164" spans="6:8" x14ac:dyDescent="0.25">
      <c r="F164"/>
      <c r="G164"/>
      <c r="H164"/>
    </row>
    <row r="165" spans="6:8" x14ac:dyDescent="0.25">
      <c r="F165"/>
      <c r="G165"/>
      <c r="H165"/>
    </row>
    <row r="166" spans="6:8" x14ac:dyDescent="0.25">
      <c r="F166"/>
      <c r="G166"/>
      <c r="H166"/>
    </row>
    <row r="167" spans="6:8" x14ac:dyDescent="0.25">
      <c r="F167"/>
      <c r="G167"/>
      <c r="H167"/>
    </row>
    <row r="168" spans="6:8" x14ac:dyDescent="0.25">
      <c r="F168"/>
      <c r="G168"/>
      <c r="H168"/>
    </row>
    <row r="169" spans="6:8" x14ac:dyDescent="0.25">
      <c r="F169"/>
      <c r="G169"/>
      <c r="H169"/>
    </row>
    <row r="170" spans="6:8" x14ac:dyDescent="0.25">
      <c r="F170"/>
      <c r="G170"/>
      <c r="H170"/>
    </row>
    <row r="171" spans="6:8" x14ac:dyDescent="0.25">
      <c r="F171"/>
      <c r="G171"/>
      <c r="H171"/>
    </row>
    <row r="172" spans="6:8" x14ac:dyDescent="0.25">
      <c r="F172"/>
      <c r="G172"/>
      <c r="H172"/>
    </row>
    <row r="173" spans="6:8" x14ac:dyDescent="0.25">
      <c r="F173"/>
      <c r="G173"/>
      <c r="H173"/>
    </row>
    <row r="174" spans="6:8" x14ac:dyDescent="0.25">
      <c r="F174"/>
      <c r="G174"/>
      <c r="H174"/>
    </row>
    <row r="175" spans="6:8" x14ac:dyDescent="0.25">
      <c r="F175"/>
      <c r="G175"/>
      <c r="H175"/>
    </row>
    <row r="176" spans="6:8" x14ac:dyDescent="0.25">
      <c r="F176"/>
      <c r="G176"/>
      <c r="H176"/>
    </row>
    <row r="177" spans="6:8" x14ac:dyDescent="0.25">
      <c r="F177"/>
      <c r="G177"/>
      <c r="H177"/>
    </row>
    <row r="178" spans="6:8" x14ac:dyDescent="0.25">
      <c r="F178"/>
      <c r="G178"/>
      <c r="H178"/>
    </row>
    <row r="179" spans="6:8" x14ac:dyDescent="0.25">
      <c r="F179"/>
      <c r="G179"/>
      <c r="H179"/>
    </row>
    <row r="180" spans="6:8" x14ac:dyDescent="0.25">
      <c r="F180"/>
      <c r="G180"/>
      <c r="H180"/>
    </row>
    <row r="181" spans="6:8" x14ac:dyDescent="0.25">
      <c r="F181"/>
      <c r="G181"/>
      <c r="H181"/>
    </row>
    <row r="182" spans="6:8" x14ac:dyDescent="0.25">
      <c r="F182"/>
      <c r="G182"/>
      <c r="H182"/>
    </row>
    <row r="183" spans="6:8" x14ac:dyDescent="0.25">
      <c r="F183"/>
      <c r="G183"/>
      <c r="H183"/>
    </row>
    <row r="184" spans="6:8" x14ac:dyDescent="0.25">
      <c r="F184"/>
      <c r="G184"/>
      <c r="H184"/>
    </row>
    <row r="185" spans="6:8" x14ac:dyDescent="0.25">
      <c r="F185"/>
      <c r="G185"/>
      <c r="H185"/>
    </row>
    <row r="186" spans="6:8" x14ac:dyDescent="0.25">
      <c r="F186"/>
      <c r="G186"/>
      <c r="H186"/>
    </row>
    <row r="187" spans="6:8" x14ac:dyDescent="0.25">
      <c r="F187"/>
      <c r="G187"/>
      <c r="H187"/>
    </row>
    <row r="188" spans="6:8" x14ac:dyDescent="0.25">
      <c r="F188"/>
      <c r="G188"/>
      <c r="H188"/>
    </row>
    <row r="189" spans="6:8" x14ac:dyDescent="0.25">
      <c r="F189"/>
      <c r="G189"/>
      <c r="H189"/>
    </row>
    <row r="190" spans="6:8" x14ac:dyDescent="0.25">
      <c r="F190"/>
      <c r="G190"/>
      <c r="H190"/>
    </row>
    <row r="191" spans="6:8" x14ac:dyDescent="0.25">
      <c r="F191"/>
      <c r="G191"/>
      <c r="H191"/>
    </row>
    <row r="192" spans="6:8" x14ac:dyDescent="0.25">
      <c r="F192"/>
      <c r="G192"/>
      <c r="H192"/>
    </row>
    <row r="193" spans="6:8" x14ac:dyDescent="0.25">
      <c r="F193"/>
      <c r="G193"/>
      <c r="H193"/>
    </row>
    <row r="194" spans="6:8" x14ac:dyDescent="0.25">
      <c r="F194"/>
      <c r="G194"/>
      <c r="H194"/>
    </row>
    <row r="195" spans="6:8" x14ac:dyDescent="0.25">
      <c r="F195"/>
      <c r="G195"/>
      <c r="H195"/>
    </row>
    <row r="196" spans="6:8" x14ac:dyDescent="0.25">
      <c r="F196"/>
      <c r="G196"/>
      <c r="H196"/>
    </row>
    <row r="197" spans="6:8" x14ac:dyDescent="0.25">
      <c r="F197"/>
      <c r="G197"/>
      <c r="H197"/>
    </row>
    <row r="198" spans="6:8" x14ac:dyDescent="0.25">
      <c r="F198"/>
      <c r="G198"/>
      <c r="H198"/>
    </row>
    <row r="199" spans="6:8" x14ac:dyDescent="0.25">
      <c r="F199"/>
      <c r="G199"/>
      <c r="H199"/>
    </row>
    <row r="200" spans="6:8" x14ac:dyDescent="0.25">
      <c r="F200"/>
      <c r="G200"/>
      <c r="H200"/>
    </row>
    <row r="201" spans="6:8" x14ac:dyDescent="0.25">
      <c r="F201"/>
      <c r="G201"/>
      <c r="H201"/>
    </row>
    <row r="202" spans="6:8" x14ac:dyDescent="0.25">
      <c r="F202"/>
      <c r="G202"/>
      <c r="H202"/>
    </row>
    <row r="203" spans="6:8" x14ac:dyDescent="0.25">
      <c r="F203"/>
      <c r="G203"/>
      <c r="H203"/>
    </row>
    <row r="204" spans="6:8" x14ac:dyDescent="0.25">
      <c r="F204"/>
      <c r="G204"/>
      <c r="H204"/>
    </row>
    <row r="205" spans="6:8" x14ac:dyDescent="0.25">
      <c r="F205"/>
      <c r="G205"/>
      <c r="H205"/>
    </row>
    <row r="206" spans="6:8" x14ac:dyDescent="0.25">
      <c r="F206"/>
      <c r="G206"/>
      <c r="H206"/>
    </row>
    <row r="207" spans="6:8" x14ac:dyDescent="0.25">
      <c r="F207"/>
      <c r="G207"/>
      <c r="H207"/>
    </row>
    <row r="208" spans="6:8" x14ac:dyDescent="0.25">
      <c r="F208"/>
      <c r="G208"/>
      <c r="H208"/>
    </row>
    <row r="209" spans="6:8" x14ac:dyDescent="0.25">
      <c r="F209"/>
      <c r="G209"/>
      <c r="H209"/>
    </row>
    <row r="210" spans="6:8" x14ac:dyDescent="0.25">
      <c r="F210"/>
      <c r="G210"/>
      <c r="H210"/>
    </row>
    <row r="211" spans="6:8" x14ac:dyDescent="0.25">
      <c r="F211"/>
      <c r="G211"/>
      <c r="H211"/>
    </row>
    <row r="212" spans="6:8" x14ac:dyDescent="0.25">
      <c r="F212"/>
      <c r="G212"/>
      <c r="H212"/>
    </row>
    <row r="213" spans="6:8" x14ac:dyDescent="0.25">
      <c r="F213"/>
      <c r="G213"/>
      <c r="H213"/>
    </row>
    <row r="214" spans="6:8" x14ac:dyDescent="0.25">
      <c r="F214"/>
      <c r="G214"/>
      <c r="H214"/>
    </row>
    <row r="215" spans="6:8" x14ac:dyDescent="0.25">
      <c r="F215"/>
      <c r="G215"/>
      <c r="H215"/>
    </row>
    <row r="216" spans="6:8" x14ac:dyDescent="0.25">
      <c r="F216"/>
      <c r="G216"/>
      <c r="H216"/>
    </row>
    <row r="217" spans="6:8" x14ac:dyDescent="0.25">
      <c r="F217"/>
      <c r="G217"/>
      <c r="H217"/>
    </row>
    <row r="218" spans="6:8" x14ac:dyDescent="0.25">
      <c r="F218"/>
      <c r="G218"/>
      <c r="H218"/>
    </row>
    <row r="219" spans="6:8" x14ac:dyDescent="0.25">
      <c r="F219"/>
      <c r="G219"/>
      <c r="H219"/>
    </row>
    <row r="220" spans="6:8" x14ac:dyDescent="0.25">
      <c r="F220"/>
      <c r="G220"/>
      <c r="H220"/>
    </row>
    <row r="221" spans="6:8" x14ac:dyDescent="0.25">
      <c r="F221"/>
      <c r="G221"/>
      <c r="H221"/>
    </row>
    <row r="222" spans="6:8" x14ac:dyDescent="0.25">
      <c r="F222"/>
      <c r="G222"/>
      <c r="H222"/>
    </row>
    <row r="223" spans="6:8" x14ac:dyDescent="0.25">
      <c r="F223"/>
      <c r="G223"/>
      <c r="H223"/>
    </row>
    <row r="224" spans="6:8" x14ac:dyDescent="0.25">
      <c r="F224"/>
      <c r="G224"/>
      <c r="H224"/>
    </row>
    <row r="225" spans="6:8" x14ac:dyDescent="0.25">
      <c r="F225"/>
      <c r="G225"/>
      <c r="H225"/>
    </row>
    <row r="226" spans="6:8" x14ac:dyDescent="0.25">
      <c r="F226"/>
      <c r="G226"/>
      <c r="H226"/>
    </row>
    <row r="227" spans="6:8" x14ac:dyDescent="0.25">
      <c r="F227"/>
      <c r="G227"/>
      <c r="H227"/>
    </row>
    <row r="228" spans="6:8" x14ac:dyDescent="0.25">
      <c r="G228"/>
      <c r="H228"/>
    </row>
  </sheetData>
  <mergeCells count="1">
    <mergeCell ref="B1:G1"/>
  </mergeCells>
  <pageMargins left="0.511811024" right="0.511811024" top="0.78740157499999996" bottom="0.78740157499999996" header="0.31496062000000002" footer="0.31496062000000002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2FCE0-CA56-4A8C-8975-092389D7FF1A}">
  <sheetPr filterMode="1"/>
  <dimension ref="A1:L232"/>
  <sheetViews>
    <sheetView topLeftCell="A6" workbookViewId="0">
      <selection activeCell="D67" sqref="D67"/>
    </sheetView>
  </sheetViews>
  <sheetFormatPr defaultColWidth="9.140625" defaultRowHeight="15" x14ac:dyDescent="0.25"/>
  <cols>
    <col min="1" max="1" width="29.5703125" style="45" customWidth="1"/>
    <col min="2" max="2" width="45.28515625" style="45" customWidth="1"/>
    <col min="3" max="3" width="29.7109375" style="45" hidden="1" customWidth="1"/>
    <col min="4" max="4" width="21.42578125" style="45" customWidth="1"/>
    <col min="5" max="5" width="17.42578125" style="45" customWidth="1"/>
    <col min="6" max="6" width="16.42578125" style="45" customWidth="1"/>
    <col min="7" max="7" width="17.140625" style="45" customWidth="1"/>
    <col min="8" max="8" width="16.85546875" style="45" bestFit="1" customWidth="1"/>
    <col min="9" max="16384" width="9.140625" style="45"/>
  </cols>
  <sheetData>
    <row r="1" spans="1:8" customFormat="1" ht="21.75" customHeight="1" x14ac:dyDescent="0.25">
      <c r="A1" s="46"/>
      <c r="B1" s="112" t="s">
        <v>0</v>
      </c>
      <c r="C1" s="113"/>
      <c r="D1" s="113"/>
      <c r="E1" s="113"/>
      <c r="F1" s="113"/>
      <c r="G1" s="114"/>
      <c r="H1" s="47"/>
    </row>
    <row r="2" spans="1:8" customFormat="1" ht="30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3"/>
      <c r="F2" s="4" t="s">
        <v>5</v>
      </c>
      <c r="G2" s="5"/>
      <c r="H2" s="6"/>
    </row>
    <row r="3" spans="1:8" customFormat="1" ht="30.6" customHeight="1" x14ac:dyDescent="0.25">
      <c r="A3" s="7">
        <v>1</v>
      </c>
      <c r="B3" s="8" t="s">
        <v>6</v>
      </c>
      <c r="C3" s="8"/>
      <c r="D3" s="9">
        <v>45748</v>
      </c>
      <c r="E3" s="9"/>
      <c r="F3" s="10">
        <f>532.69+550</f>
        <v>1082.69</v>
      </c>
      <c r="G3" s="5"/>
      <c r="H3" s="6"/>
    </row>
    <row r="4" spans="1:8" customFormat="1" ht="30.6" customHeight="1" x14ac:dyDescent="0.25">
      <c r="A4" s="7">
        <v>2</v>
      </c>
      <c r="B4" s="8" t="s">
        <v>8</v>
      </c>
      <c r="C4" s="8" t="s">
        <v>9</v>
      </c>
      <c r="D4" s="9">
        <v>45748</v>
      </c>
      <c r="E4" s="9"/>
      <c r="F4" s="10">
        <v>39590</v>
      </c>
      <c r="G4" s="5"/>
      <c r="H4" s="11"/>
    </row>
    <row r="5" spans="1:8" customFormat="1" ht="30.6" customHeight="1" x14ac:dyDescent="0.25">
      <c r="A5" s="7">
        <v>3</v>
      </c>
      <c r="B5" s="8" t="s">
        <v>10</v>
      </c>
      <c r="C5" s="12" t="s">
        <v>11</v>
      </c>
      <c r="D5" s="9">
        <v>45748</v>
      </c>
      <c r="E5" s="9"/>
      <c r="F5" s="10">
        <v>39510.6</v>
      </c>
      <c r="G5" s="5"/>
      <c r="H5" s="11"/>
    </row>
    <row r="6" spans="1:8" customFormat="1" ht="30.6" customHeight="1" x14ac:dyDescent="0.25">
      <c r="A6" s="7">
        <v>4</v>
      </c>
      <c r="B6" s="8" t="s">
        <v>12</v>
      </c>
      <c r="C6" s="8"/>
      <c r="D6" s="9">
        <v>45748</v>
      </c>
      <c r="E6" s="9"/>
      <c r="F6" s="10">
        <v>359.34</v>
      </c>
      <c r="G6" s="5"/>
      <c r="H6" s="11"/>
    </row>
    <row r="7" spans="1:8" customFormat="1" ht="30.6" customHeight="1" x14ac:dyDescent="0.25">
      <c r="A7" s="7">
        <v>5</v>
      </c>
      <c r="B7" s="8" t="s">
        <v>13</v>
      </c>
      <c r="C7" s="8" t="s">
        <v>14</v>
      </c>
      <c r="D7" s="9">
        <v>45748</v>
      </c>
      <c r="E7" s="9"/>
      <c r="F7" s="13">
        <v>1518</v>
      </c>
      <c r="G7" s="5"/>
      <c r="H7" s="6"/>
    </row>
    <row r="8" spans="1:8" customFormat="1" ht="30.6" customHeight="1" x14ac:dyDescent="0.25">
      <c r="A8" s="7">
        <v>6</v>
      </c>
      <c r="B8" s="8" t="s">
        <v>15</v>
      </c>
      <c r="C8" s="8" t="s">
        <v>16</v>
      </c>
      <c r="D8" s="9">
        <v>45748</v>
      </c>
      <c r="E8" s="9"/>
      <c r="F8" s="13">
        <v>2500</v>
      </c>
      <c r="G8" s="5"/>
      <c r="H8" s="6"/>
    </row>
    <row r="9" spans="1:8" customFormat="1" ht="30.6" customHeight="1" x14ac:dyDescent="0.25">
      <c r="A9" s="7">
        <v>7</v>
      </c>
      <c r="B9" s="14" t="s">
        <v>17</v>
      </c>
      <c r="C9" s="12" t="s">
        <v>18</v>
      </c>
      <c r="D9" s="9">
        <v>45748</v>
      </c>
      <c r="E9" s="9"/>
      <c r="F9" s="13">
        <v>880</v>
      </c>
      <c r="G9" s="5"/>
      <c r="H9" s="6"/>
    </row>
    <row r="10" spans="1:8" customFormat="1" ht="34.5" customHeight="1" x14ac:dyDescent="0.25">
      <c r="A10" s="7">
        <v>8</v>
      </c>
      <c r="B10" s="14" t="s">
        <v>19</v>
      </c>
      <c r="C10" s="14" t="s">
        <v>20</v>
      </c>
      <c r="D10" s="9">
        <v>45748</v>
      </c>
      <c r="E10" s="9"/>
      <c r="F10" s="13">
        <v>160.66999999999999</v>
      </c>
      <c r="G10" s="5"/>
      <c r="H10" s="6"/>
    </row>
    <row r="11" spans="1:8" customFormat="1" ht="30.6" customHeight="1" x14ac:dyDescent="0.25">
      <c r="A11" s="7">
        <v>9</v>
      </c>
      <c r="B11" s="14" t="s">
        <v>149</v>
      </c>
      <c r="C11" s="14" t="s">
        <v>150</v>
      </c>
      <c r="D11" s="9">
        <v>45748</v>
      </c>
      <c r="E11" s="9"/>
      <c r="F11" s="13">
        <v>149.9</v>
      </c>
      <c r="G11" s="5"/>
      <c r="H11" s="6"/>
    </row>
    <row r="12" spans="1:8" customFormat="1" ht="30.6" customHeight="1" x14ac:dyDescent="0.25">
      <c r="A12" s="7">
        <v>10</v>
      </c>
      <c r="B12" s="14" t="s">
        <v>21</v>
      </c>
      <c r="C12" s="12" t="s">
        <v>22</v>
      </c>
      <c r="D12" s="9">
        <v>45748</v>
      </c>
      <c r="E12" s="9"/>
      <c r="F12" s="13">
        <v>385</v>
      </c>
      <c r="G12" s="5"/>
      <c r="H12" s="15"/>
    </row>
    <row r="13" spans="1:8" customFormat="1" ht="30.6" customHeight="1" x14ac:dyDescent="0.25">
      <c r="A13" s="7">
        <v>11</v>
      </c>
      <c r="B13" s="14" t="s">
        <v>23</v>
      </c>
      <c r="C13" s="8"/>
      <c r="D13" s="9">
        <v>45748</v>
      </c>
      <c r="E13" s="9"/>
      <c r="F13" s="13"/>
      <c r="G13" s="5"/>
      <c r="H13" s="6"/>
    </row>
    <row r="14" spans="1:8" customFormat="1" ht="31.5" customHeight="1" x14ac:dyDescent="0.25">
      <c r="A14" s="7">
        <v>12</v>
      </c>
      <c r="B14" s="14" t="s">
        <v>24</v>
      </c>
      <c r="C14" s="12" t="s">
        <v>25</v>
      </c>
      <c r="D14" s="9">
        <v>45748</v>
      </c>
      <c r="E14" s="9"/>
      <c r="F14" s="13">
        <v>322.89999999999998</v>
      </c>
      <c r="G14" s="5"/>
      <c r="H14" s="6"/>
    </row>
    <row r="15" spans="1:8" customFormat="1" ht="31.5" customHeight="1" x14ac:dyDescent="0.25">
      <c r="A15" s="7">
        <v>13</v>
      </c>
      <c r="B15" s="14" t="s">
        <v>164</v>
      </c>
      <c r="C15" s="12" t="s">
        <v>165</v>
      </c>
      <c r="D15" s="9">
        <v>45748</v>
      </c>
      <c r="E15" s="9"/>
      <c r="F15" s="13">
        <v>69.599999999999994</v>
      </c>
      <c r="G15" s="5"/>
      <c r="H15" s="6"/>
    </row>
    <row r="16" spans="1:8" customFormat="1" ht="42" customHeight="1" x14ac:dyDescent="0.25">
      <c r="A16" s="48"/>
      <c r="B16" s="49" t="s">
        <v>31</v>
      </c>
      <c r="C16" s="50"/>
      <c r="D16" s="51"/>
      <c r="E16" s="52"/>
      <c r="F16" s="53">
        <f>SUM(F3:F15)</f>
        <v>86528.7</v>
      </c>
      <c r="G16" s="54"/>
      <c r="H16" s="55"/>
    </row>
    <row r="17" spans="1:12" customFormat="1" ht="21.75" customHeight="1" x14ac:dyDescent="0.25">
      <c r="A17" s="16" t="s">
        <v>32</v>
      </c>
      <c r="B17" s="17" t="s">
        <v>33</v>
      </c>
      <c r="C17" s="18"/>
      <c r="D17" s="16" t="s">
        <v>35</v>
      </c>
      <c r="E17" s="16" t="s">
        <v>36</v>
      </c>
      <c r="F17" s="16" t="s">
        <v>37</v>
      </c>
      <c r="G17" s="19" t="s">
        <v>38</v>
      </c>
      <c r="H17" s="18" t="s">
        <v>39</v>
      </c>
    </row>
    <row r="18" spans="1:12" s="27" customFormat="1" ht="15" hidden="1" customHeight="1" x14ac:dyDescent="0.25">
      <c r="A18" s="20" t="s">
        <v>40</v>
      </c>
      <c r="B18" s="21" t="s">
        <v>41</v>
      </c>
      <c r="C18" s="22" t="s">
        <v>42</v>
      </c>
      <c r="D18" s="23">
        <v>4016</v>
      </c>
      <c r="E18" s="24">
        <f>D18/$D$63</f>
        <v>1.2734840640402666E-2</v>
      </c>
      <c r="F18" s="25">
        <f>$F$16*E18</f>
        <v>1101.92920532121</v>
      </c>
      <c r="G18" s="26">
        <f>F18*5%</f>
        <v>55.096460266060504</v>
      </c>
      <c r="H18" s="26">
        <f t="shared" ref="H18:H62" si="0">F18+G18</f>
        <v>1157.0256655872706</v>
      </c>
    </row>
    <row r="19" spans="1:12" customFormat="1" hidden="1" x14ac:dyDescent="0.25">
      <c r="A19" s="20" t="s">
        <v>43</v>
      </c>
      <c r="B19" s="28" t="s">
        <v>44</v>
      </c>
      <c r="C19" s="22">
        <v>18778225000139</v>
      </c>
      <c r="D19" s="23">
        <v>8711.2199999999993</v>
      </c>
      <c r="E19" s="24">
        <f t="shared" ref="E19:E62" si="1">D19/$D$63</f>
        <v>2.7623505598478211E-2</v>
      </c>
      <c r="F19" s="25">
        <f t="shared" ref="F19:F62" si="2">$F$16*E19</f>
        <v>2390.2260288790417</v>
      </c>
      <c r="G19" s="26">
        <f t="shared" ref="G19:G62" si="3">F19*5%</f>
        <v>119.51130144395209</v>
      </c>
      <c r="H19" s="26">
        <f t="shared" si="0"/>
        <v>2509.7373303229938</v>
      </c>
    </row>
    <row r="20" spans="1:12" customFormat="1" hidden="1" x14ac:dyDescent="0.25">
      <c r="A20" s="20" t="s">
        <v>45</v>
      </c>
      <c r="B20" s="28" t="s">
        <v>46</v>
      </c>
      <c r="C20" s="22">
        <v>41993875000119</v>
      </c>
      <c r="D20" s="23">
        <v>3641.8</v>
      </c>
      <c r="E20" s="24">
        <f t="shared" si="1"/>
        <v>1.1548242690293434E-2</v>
      </c>
      <c r="F20" s="25">
        <f t="shared" si="2"/>
        <v>999.25442727559346</v>
      </c>
      <c r="G20" s="26">
        <f t="shared" si="3"/>
        <v>49.962721363779679</v>
      </c>
      <c r="H20" s="26">
        <f t="shared" si="0"/>
        <v>1049.2171486393731</v>
      </c>
    </row>
    <row r="21" spans="1:12" customFormat="1" hidden="1" x14ac:dyDescent="0.25">
      <c r="A21" s="20" t="s">
        <v>47</v>
      </c>
      <c r="B21" s="21" t="s">
        <v>48</v>
      </c>
      <c r="C21" s="22">
        <v>24781302000102</v>
      </c>
      <c r="D21" s="23">
        <v>3430</v>
      </c>
      <c r="E21" s="24">
        <f t="shared" si="1"/>
        <v>1.0876619371658651E-2</v>
      </c>
      <c r="F21" s="25">
        <f t="shared" si="2"/>
        <v>941.13973462443982</v>
      </c>
      <c r="G21" s="26">
        <f t="shared" si="3"/>
        <v>47.056986731221997</v>
      </c>
      <c r="H21" s="26">
        <f t="shared" si="0"/>
        <v>988.19672135566179</v>
      </c>
    </row>
    <row r="22" spans="1:12" customFormat="1" hidden="1" x14ac:dyDescent="0.25">
      <c r="A22" s="20" t="s">
        <v>49</v>
      </c>
      <c r="B22" s="21" t="s">
        <v>50</v>
      </c>
      <c r="C22" s="22">
        <v>38649716000197</v>
      </c>
      <c r="D22" s="23">
        <v>3440</v>
      </c>
      <c r="E22" s="24">
        <f t="shared" si="1"/>
        <v>1.0908329632217422E-2</v>
      </c>
      <c r="F22" s="25">
        <f t="shared" si="2"/>
        <v>943.88358224725164</v>
      </c>
      <c r="G22" s="26">
        <f t="shared" si="3"/>
        <v>47.194179112362583</v>
      </c>
      <c r="H22" s="26">
        <f t="shared" si="0"/>
        <v>991.07776135961421</v>
      </c>
    </row>
    <row r="23" spans="1:12" customFormat="1" hidden="1" x14ac:dyDescent="0.25">
      <c r="A23" s="20" t="s">
        <v>51</v>
      </c>
      <c r="B23" s="21" t="s">
        <v>52</v>
      </c>
      <c r="C23" s="22" t="s">
        <v>53</v>
      </c>
      <c r="D23" s="23">
        <v>4056</v>
      </c>
      <c r="E23" s="24">
        <f t="shared" si="1"/>
        <v>1.2861681682637752E-2</v>
      </c>
      <c r="F23" s="25">
        <f t="shared" si="2"/>
        <v>1112.9045958124573</v>
      </c>
      <c r="G23" s="26">
        <f t="shared" si="3"/>
        <v>55.645229790622864</v>
      </c>
      <c r="H23" s="26">
        <f t="shared" si="0"/>
        <v>1168.5498256030801</v>
      </c>
    </row>
    <row r="24" spans="1:12" customFormat="1" hidden="1" x14ac:dyDescent="0.25">
      <c r="A24" s="20" t="s">
        <v>161</v>
      </c>
      <c r="B24" s="21" t="s">
        <v>162</v>
      </c>
      <c r="C24" s="22" t="s">
        <v>163</v>
      </c>
      <c r="D24" s="23">
        <v>9403</v>
      </c>
      <c r="E24" s="24">
        <f t="shared" si="1"/>
        <v>2.9817158003412916E-2</v>
      </c>
      <c r="F24" s="25">
        <f t="shared" si="2"/>
        <v>2580.0399197299153</v>
      </c>
      <c r="G24" s="26">
        <f t="shared" si="3"/>
        <v>129.00199598649576</v>
      </c>
      <c r="H24" s="26">
        <f t="shared" si="0"/>
        <v>2709.041915716411</v>
      </c>
    </row>
    <row r="25" spans="1:12" customFormat="1" hidden="1" x14ac:dyDescent="0.25">
      <c r="A25" s="20" t="s">
        <v>54</v>
      </c>
      <c r="B25" s="21" t="s">
        <v>55</v>
      </c>
      <c r="C25" s="22" t="s">
        <v>56</v>
      </c>
      <c r="D25" s="23">
        <v>11580</v>
      </c>
      <c r="E25" s="24">
        <f t="shared" si="1"/>
        <v>3.672048172705749E-2</v>
      </c>
      <c r="F25" s="25">
        <f t="shared" si="2"/>
        <v>3177.3755472160392</v>
      </c>
      <c r="G25" s="26">
        <f t="shared" si="3"/>
        <v>158.86877736080197</v>
      </c>
      <c r="H25" s="26">
        <f t="shared" si="0"/>
        <v>3336.2443245768413</v>
      </c>
    </row>
    <row r="26" spans="1:12" customFormat="1" hidden="1" x14ac:dyDescent="0.25">
      <c r="A26" s="20" t="s">
        <v>57</v>
      </c>
      <c r="B26" s="21" t="s">
        <v>58</v>
      </c>
      <c r="C26" s="22" t="s">
        <v>59</v>
      </c>
      <c r="D26" s="23">
        <f>360+360+1510</f>
        <v>2230</v>
      </c>
      <c r="E26" s="24">
        <f t="shared" si="1"/>
        <v>7.0713881046060622E-3</v>
      </c>
      <c r="F26" s="25">
        <f t="shared" si="2"/>
        <v>611.87801988702654</v>
      </c>
      <c r="G26" s="26">
        <f t="shared" si="3"/>
        <v>30.59390099435133</v>
      </c>
      <c r="H26" s="26">
        <f t="shared" si="0"/>
        <v>642.47192088137786</v>
      </c>
    </row>
    <row r="27" spans="1:12" s="33" customFormat="1" ht="15.75" hidden="1" customHeight="1" x14ac:dyDescent="0.25">
      <c r="A27" s="20" t="s">
        <v>60</v>
      </c>
      <c r="B27" s="29" t="s">
        <v>61</v>
      </c>
      <c r="C27" s="30" t="s">
        <v>62</v>
      </c>
      <c r="D27" s="23">
        <f>5224+3930</f>
        <v>9154</v>
      </c>
      <c r="E27" s="24">
        <f t="shared" si="1"/>
        <v>2.9027572515499502E-2</v>
      </c>
      <c r="F27" s="25">
        <f t="shared" si="2"/>
        <v>2511.7181139219015</v>
      </c>
      <c r="G27" s="26">
        <f t="shared" si="3"/>
        <v>125.58590569609508</v>
      </c>
      <c r="H27" s="31">
        <f t="shared" si="0"/>
        <v>2637.3040196179963</v>
      </c>
      <c r="I27" s="32" t="s">
        <v>63</v>
      </c>
      <c r="L27" s="33" t="s">
        <v>64</v>
      </c>
    </row>
    <row r="28" spans="1:12" customFormat="1" ht="15.75" hidden="1" customHeight="1" x14ac:dyDescent="0.25">
      <c r="A28" s="20" t="s">
        <v>65</v>
      </c>
      <c r="B28" s="28" t="s">
        <v>66</v>
      </c>
      <c r="C28" s="22" t="s">
        <v>67</v>
      </c>
      <c r="D28" s="23">
        <v>2610</v>
      </c>
      <c r="E28" s="24">
        <f t="shared" si="1"/>
        <v>8.276378005839382E-3</v>
      </c>
      <c r="F28" s="25">
        <f t="shared" si="2"/>
        <v>716.14422955387408</v>
      </c>
      <c r="G28" s="26">
        <f t="shared" si="3"/>
        <v>35.807211477693706</v>
      </c>
      <c r="H28" s="26">
        <f t="shared" si="0"/>
        <v>751.95144103156781</v>
      </c>
    </row>
    <row r="29" spans="1:12" customFormat="1" ht="15.75" hidden="1" customHeight="1" x14ac:dyDescent="0.25">
      <c r="A29" s="20" t="s">
        <v>68</v>
      </c>
      <c r="B29" s="28" t="s">
        <v>69</v>
      </c>
      <c r="C29" s="22" t="s">
        <v>70</v>
      </c>
      <c r="D29" s="23">
        <v>5515</v>
      </c>
      <c r="E29" s="24">
        <f t="shared" si="1"/>
        <v>1.7488208698162526E-2</v>
      </c>
      <c r="F29" s="25">
        <f t="shared" si="2"/>
        <v>1513.2319639806958</v>
      </c>
      <c r="G29" s="26">
        <f t="shared" si="3"/>
        <v>75.661598199034799</v>
      </c>
      <c r="H29" s="26">
        <f t="shared" si="0"/>
        <v>1588.8935621797307</v>
      </c>
    </row>
    <row r="30" spans="1:12" customFormat="1" ht="15.75" hidden="1" customHeight="1" x14ac:dyDescent="0.25">
      <c r="A30" s="20" t="s">
        <v>71</v>
      </c>
      <c r="B30" s="21" t="s">
        <v>72</v>
      </c>
      <c r="C30" s="22">
        <v>17202383000183</v>
      </c>
      <c r="D30" s="23">
        <v>15332</v>
      </c>
      <c r="E30" s="24">
        <f t="shared" si="1"/>
        <v>4.8618171488708582E-2</v>
      </c>
      <c r="F30" s="25">
        <f t="shared" si="2"/>
        <v>4206.8671752950186</v>
      </c>
      <c r="G30" s="26">
        <f t="shared" si="3"/>
        <v>210.34335876475095</v>
      </c>
      <c r="H30" s="26">
        <f t="shared" si="0"/>
        <v>4417.2105340597691</v>
      </c>
    </row>
    <row r="31" spans="1:12" customFormat="1" ht="15.75" hidden="1" customHeight="1" x14ac:dyDescent="0.25">
      <c r="A31" s="20" t="s">
        <v>73</v>
      </c>
      <c r="B31" s="21" t="s">
        <v>74</v>
      </c>
      <c r="C31" s="22">
        <v>18183488000103</v>
      </c>
      <c r="D31" s="23">
        <v>7238</v>
      </c>
      <c r="E31" s="24">
        <f t="shared" si="1"/>
        <v>2.295188659243887E-2</v>
      </c>
      <c r="F31" s="25">
        <f t="shared" si="2"/>
        <v>1985.9969093911652</v>
      </c>
      <c r="G31" s="26">
        <f t="shared" si="3"/>
        <v>99.299845469558264</v>
      </c>
      <c r="H31" s="26">
        <f t="shared" si="0"/>
        <v>2085.2967548607235</v>
      </c>
    </row>
    <row r="32" spans="1:12" customFormat="1" hidden="1" x14ac:dyDescent="0.25">
      <c r="A32" s="20" t="s">
        <v>75</v>
      </c>
      <c r="B32" s="21" t="s">
        <v>76</v>
      </c>
      <c r="C32" s="22">
        <v>18244070000150</v>
      </c>
      <c r="D32" s="23">
        <v>5941</v>
      </c>
      <c r="E32" s="24">
        <f t="shared" si="1"/>
        <v>1.8839065797966195E-2</v>
      </c>
      <c r="F32" s="25">
        <f t="shared" si="2"/>
        <v>1630.1198727124774</v>
      </c>
      <c r="G32" s="26">
        <f t="shared" si="3"/>
        <v>81.505993635623881</v>
      </c>
      <c r="H32" s="26">
        <f t="shared" si="0"/>
        <v>1711.6258663481012</v>
      </c>
    </row>
    <row r="33" spans="1:12" customFormat="1" hidden="1" x14ac:dyDescent="0.25">
      <c r="A33" s="20" t="s">
        <v>77</v>
      </c>
      <c r="B33" s="21" t="s">
        <v>78</v>
      </c>
      <c r="C33" s="22">
        <v>18244039000110</v>
      </c>
      <c r="D33" s="23">
        <v>4460</v>
      </c>
      <c r="E33" s="24">
        <f t="shared" si="1"/>
        <v>1.4142776209212124E-2</v>
      </c>
      <c r="F33" s="25">
        <f t="shared" si="2"/>
        <v>1223.7560397740531</v>
      </c>
      <c r="G33" s="26">
        <f t="shared" si="3"/>
        <v>61.18780198870266</v>
      </c>
      <c r="H33" s="26">
        <f t="shared" si="0"/>
        <v>1284.9438417627557</v>
      </c>
    </row>
    <row r="34" spans="1:12" customFormat="1" hidden="1" x14ac:dyDescent="0.25">
      <c r="A34" s="20" t="s">
        <v>79</v>
      </c>
      <c r="B34" s="21" t="s">
        <v>153</v>
      </c>
      <c r="C34" s="67" t="s">
        <v>154</v>
      </c>
      <c r="D34" s="23">
        <v>4415</v>
      </c>
      <c r="E34" s="24">
        <f t="shared" si="1"/>
        <v>1.4000080036697652E-2</v>
      </c>
      <c r="F34" s="25">
        <f t="shared" si="2"/>
        <v>1211.4087254714</v>
      </c>
      <c r="G34" s="26">
        <f t="shared" si="3"/>
        <v>60.570436273570003</v>
      </c>
      <c r="H34" s="26">
        <f t="shared" si="0"/>
        <v>1271.97916174497</v>
      </c>
    </row>
    <row r="35" spans="1:12" customFormat="1" hidden="1" x14ac:dyDescent="0.25">
      <c r="A35" s="20" t="s">
        <v>81</v>
      </c>
      <c r="B35" s="21" t="s">
        <v>82</v>
      </c>
      <c r="C35" s="22" t="s">
        <v>83</v>
      </c>
      <c r="D35" s="23">
        <v>8673</v>
      </c>
      <c r="E35" s="24">
        <f t="shared" si="1"/>
        <v>2.7502308982622591E-2</v>
      </c>
      <c r="F35" s="25">
        <f t="shared" si="2"/>
        <v>2379.7390432646553</v>
      </c>
      <c r="G35" s="26">
        <f t="shared" si="3"/>
        <v>118.98695216323277</v>
      </c>
      <c r="H35" s="26">
        <f t="shared" si="0"/>
        <v>2498.7259954278879</v>
      </c>
    </row>
    <row r="36" spans="1:12" customFormat="1" hidden="1" x14ac:dyDescent="0.25">
      <c r="A36" s="20" t="s">
        <v>84</v>
      </c>
      <c r="B36" s="21" t="s">
        <v>85</v>
      </c>
      <c r="C36" s="22" t="s">
        <v>86</v>
      </c>
      <c r="D36" s="23">
        <v>9239</v>
      </c>
      <c r="E36" s="24">
        <f t="shared" si="1"/>
        <v>2.9297109730249061E-2</v>
      </c>
      <c r="F36" s="25">
        <f t="shared" si="2"/>
        <v>2535.0408187158018</v>
      </c>
      <c r="G36" s="26">
        <f t="shared" si="3"/>
        <v>126.75204093579009</v>
      </c>
      <c r="H36" s="26">
        <f t="shared" si="0"/>
        <v>2661.7928596515922</v>
      </c>
    </row>
    <row r="37" spans="1:12" customFormat="1" hidden="1" x14ac:dyDescent="0.25">
      <c r="A37" s="20" t="s">
        <v>87</v>
      </c>
      <c r="B37" s="21" t="s">
        <v>88</v>
      </c>
      <c r="C37" s="22" t="s">
        <v>89</v>
      </c>
      <c r="D37" s="23">
        <v>4892</v>
      </c>
      <c r="E37" s="24">
        <f t="shared" si="1"/>
        <v>1.5512659465351056E-2</v>
      </c>
      <c r="F37" s="25">
        <f t="shared" si="2"/>
        <v>1342.2902570795218</v>
      </c>
      <c r="G37" s="26">
        <f t="shared" si="3"/>
        <v>67.114512853976095</v>
      </c>
      <c r="H37" s="26">
        <f t="shared" si="0"/>
        <v>1409.4047699334978</v>
      </c>
    </row>
    <row r="38" spans="1:12" customFormat="1" hidden="1" x14ac:dyDescent="0.25">
      <c r="A38" s="20" t="s">
        <v>90</v>
      </c>
      <c r="B38" s="21" t="s">
        <v>91</v>
      </c>
      <c r="C38" s="22">
        <v>41497649000147</v>
      </c>
      <c r="D38" s="23">
        <v>2526</v>
      </c>
      <c r="E38" s="24">
        <f t="shared" si="1"/>
        <v>8.010011817145701E-3</v>
      </c>
      <c r="F38" s="25">
        <f t="shared" si="2"/>
        <v>693.09590952225517</v>
      </c>
      <c r="G38" s="26">
        <f t="shared" si="3"/>
        <v>34.65479547611276</v>
      </c>
      <c r="H38" s="26">
        <f t="shared" si="0"/>
        <v>727.75070499836795</v>
      </c>
    </row>
    <row r="39" spans="1:12" customFormat="1" x14ac:dyDescent="0.25">
      <c r="A39" s="20" t="s">
        <v>145</v>
      </c>
      <c r="B39" s="21" t="s">
        <v>214</v>
      </c>
      <c r="C39" s="22"/>
      <c r="D39" s="23">
        <v>3638.7</v>
      </c>
      <c r="E39" s="24">
        <f t="shared" si="1"/>
        <v>1.1538412509520214E-2</v>
      </c>
      <c r="F39" s="25">
        <f>$F$16*E39</f>
        <v>998.40383451252171</v>
      </c>
      <c r="G39" s="26">
        <f t="shared" si="3"/>
        <v>49.92019172562609</v>
      </c>
      <c r="H39" s="26">
        <f>F39+G39</f>
        <v>1048.3240262381478</v>
      </c>
    </row>
    <row r="40" spans="1:12" customFormat="1" x14ac:dyDescent="0.25">
      <c r="A40" s="20" t="s">
        <v>145</v>
      </c>
      <c r="B40" s="21" t="s">
        <v>215</v>
      </c>
      <c r="C40" s="22"/>
      <c r="D40" s="23">
        <v>8618.1</v>
      </c>
      <c r="E40" s="24">
        <f>D40/$D$63</f>
        <v>2.7328219652154935E-2</v>
      </c>
      <c r="F40" s="25">
        <f t="shared" si="2"/>
        <v>2364.6753198154188</v>
      </c>
      <c r="G40" s="26">
        <f>F40*5%</f>
        <v>118.23376599077095</v>
      </c>
      <c r="H40" s="26">
        <f>F40+G40</f>
        <v>2482.9090858061895</v>
      </c>
    </row>
    <row r="41" spans="1:12" customFormat="1" hidden="1" x14ac:dyDescent="0.25">
      <c r="A41" s="20" t="s">
        <v>92</v>
      </c>
      <c r="B41" s="21" t="s">
        <v>93</v>
      </c>
      <c r="C41" s="22">
        <v>40580071000125</v>
      </c>
      <c r="D41" s="23">
        <v>3600</v>
      </c>
      <c r="E41" s="24">
        <f t="shared" si="1"/>
        <v>1.1415693801157768E-2</v>
      </c>
      <c r="F41" s="25">
        <f t="shared" si="2"/>
        <v>987.78514421224008</v>
      </c>
      <c r="G41" s="26">
        <f t="shared" si="3"/>
        <v>49.389257210612008</v>
      </c>
      <c r="H41" s="26">
        <f t="shared" si="0"/>
        <v>1037.174401422852</v>
      </c>
      <c r="I41" s="32" t="s">
        <v>63</v>
      </c>
      <c r="L41" t="s">
        <v>94</v>
      </c>
    </row>
    <row r="42" spans="1:12" customFormat="1" hidden="1" x14ac:dyDescent="0.25">
      <c r="A42" s="20" t="s">
        <v>95</v>
      </c>
      <c r="B42" s="21" t="s">
        <v>96</v>
      </c>
      <c r="C42" s="22" t="s">
        <v>97</v>
      </c>
      <c r="D42" s="23">
        <v>3938</v>
      </c>
      <c r="E42" s="24">
        <f t="shared" si="1"/>
        <v>1.2487500608044247E-2</v>
      </c>
      <c r="F42" s="25">
        <f t="shared" si="2"/>
        <v>1080.5271938632782</v>
      </c>
      <c r="G42" s="26">
        <f t="shared" si="3"/>
        <v>54.026359693163911</v>
      </c>
      <c r="H42" s="26">
        <f t="shared" si="0"/>
        <v>1134.553553556442</v>
      </c>
    </row>
    <row r="43" spans="1:12" customFormat="1" hidden="1" x14ac:dyDescent="0.25">
      <c r="A43" s="20" t="s">
        <v>98</v>
      </c>
      <c r="B43" s="21" t="s">
        <v>99</v>
      </c>
      <c r="C43" s="22">
        <v>18788190000119</v>
      </c>
      <c r="D43" s="23">
        <v>3707</v>
      </c>
      <c r="E43" s="24">
        <f t="shared" si="1"/>
        <v>1.1754993589136623E-2</v>
      </c>
      <c r="F43" s="25">
        <f t="shared" si="2"/>
        <v>1017.144313776326</v>
      </c>
      <c r="G43" s="26">
        <f t="shared" si="3"/>
        <v>50.857215688816304</v>
      </c>
      <c r="H43" s="26">
        <f t="shared" si="0"/>
        <v>1068.0015294651423</v>
      </c>
    </row>
    <row r="44" spans="1:12" customFormat="1" hidden="1" x14ac:dyDescent="0.25">
      <c r="A44" s="20" t="s">
        <v>100</v>
      </c>
      <c r="B44" s="21" t="s">
        <v>101</v>
      </c>
      <c r="C44" s="22">
        <v>42109766000159</v>
      </c>
      <c r="D44" s="23">
        <v>5117</v>
      </c>
      <c r="E44" s="24">
        <f t="shared" si="1"/>
        <v>1.6226140327923418E-2</v>
      </c>
      <c r="F44" s="25">
        <f t="shared" si="2"/>
        <v>1404.0268285927871</v>
      </c>
      <c r="G44" s="26">
        <f t="shared" si="3"/>
        <v>70.201341429639356</v>
      </c>
      <c r="H44" s="26">
        <f t="shared" si="0"/>
        <v>1474.2281700224264</v>
      </c>
    </row>
    <row r="45" spans="1:12" customFormat="1" hidden="1" x14ac:dyDescent="0.25">
      <c r="A45" s="20" t="s">
        <v>102</v>
      </c>
      <c r="B45" s="21" t="s">
        <v>99</v>
      </c>
      <c r="C45" s="22">
        <v>18788190000119</v>
      </c>
      <c r="D45" s="23">
        <v>14717</v>
      </c>
      <c r="E45" s="24">
        <f t="shared" si="1"/>
        <v>4.6667990464344132E-2</v>
      </c>
      <c r="F45" s="25">
        <f t="shared" si="2"/>
        <v>4038.120546492094</v>
      </c>
      <c r="G45" s="26">
        <f t="shared" si="3"/>
        <v>201.90602732460471</v>
      </c>
      <c r="H45" s="26">
        <f t="shared" si="0"/>
        <v>4240.0265738166991</v>
      </c>
    </row>
    <row r="46" spans="1:12" customFormat="1" ht="13.5" hidden="1" customHeight="1" x14ac:dyDescent="0.25">
      <c r="A46" s="20" t="s">
        <v>103</v>
      </c>
      <c r="B46" s="21" t="s">
        <v>104</v>
      </c>
      <c r="C46" s="22">
        <v>32302613000170</v>
      </c>
      <c r="D46" s="23">
        <v>5439</v>
      </c>
      <c r="E46" s="24">
        <f t="shared" si="1"/>
        <v>1.7247210717915861E-2</v>
      </c>
      <c r="F46" s="25">
        <f t="shared" si="2"/>
        <v>1492.3787220473262</v>
      </c>
      <c r="G46" s="26">
        <f t="shared" si="3"/>
        <v>74.618936102366305</v>
      </c>
      <c r="H46" s="26">
        <f t="shared" si="0"/>
        <v>1566.9976581496924</v>
      </c>
    </row>
    <row r="47" spans="1:12" customFormat="1" hidden="1" x14ac:dyDescent="0.25">
      <c r="A47" s="20" t="s">
        <v>105</v>
      </c>
      <c r="B47" s="21" t="s">
        <v>106</v>
      </c>
      <c r="C47" s="22">
        <v>28616552000148</v>
      </c>
      <c r="D47" s="23">
        <v>4123.71</v>
      </c>
      <c r="E47" s="24">
        <f t="shared" si="1"/>
        <v>1.3076391856881194E-2</v>
      </c>
      <c r="F47" s="25">
        <f t="shared" si="2"/>
        <v>1131.4831880665158</v>
      </c>
      <c r="G47" s="26">
        <f t="shared" si="3"/>
        <v>56.574159403325794</v>
      </c>
      <c r="H47" s="26">
        <f t="shared" si="0"/>
        <v>1188.0573474698417</v>
      </c>
    </row>
    <row r="48" spans="1:12" customFormat="1" hidden="1" x14ac:dyDescent="0.25">
      <c r="A48" s="20" t="s">
        <v>107</v>
      </c>
      <c r="B48" s="21" t="s">
        <v>108</v>
      </c>
      <c r="C48" s="22">
        <v>42579914000107</v>
      </c>
      <c r="D48" s="23">
        <v>4986.3599999999997</v>
      </c>
      <c r="E48" s="24">
        <f t="shared" si="1"/>
        <v>1.5811877483983622E-2</v>
      </c>
      <c r="F48" s="25">
        <f t="shared" si="2"/>
        <v>1368.1812032483735</v>
      </c>
      <c r="G48" s="26">
        <f t="shared" si="3"/>
        <v>68.409060162418683</v>
      </c>
      <c r="H48" s="26">
        <f t="shared" si="0"/>
        <v>1436.5902634107922</v>
      </c>
    </row>
    <row r="49" spans="1:8" customFormat="1" hidden="1" x14ac:dyDescent="0.25">
      <c r="A49" s="20" t="s">
        <v>109</v>
      </c>
      <c r="B49" s="21" t="s">
        <v>110</v>
      </c>
      <c r="C49" s="22" t="s">
        <v>111</v>
      </c>
      <c r="D49" s="23">
        <v>7462</v>
      </c>
      <c r="E49" s="24">
        <f t="shared" si="1"/>
        <v>2.366219642895535E-2</v>
      </c>
      <c r="F49" s="25">
        <f t="shared" si="2"/>
        <v>2047.4590961421488</v>
      </c>
      <c r="G49" s="26">
        <f t="shared" si="3"/>
        <v>102.37295480710745</v>
      </c>
      <c r="H49" s="26">
        <f t="shared" si="0"/>
        <v>2149.8320509492564</v>
      </c>
    </row>
    <row r="50" spans="1:8" customFormat="1" hidden="1" x14ac:dyDescent="0.25">
      <c r="A50" s="20" t="s">
        <v>112</v>
      </c>
      <c r="B50" s="21" t="s">
        <v>113</v>
      </c>
      <c r="C50" s="22" t="s">
        <v>114</v>
      </c>
      <c r="D50" s="23">
        <v>5525</v>
      </c>
      <c r="E50" s="24">
        <f t="shared" si="1"/>
        <v>1.7519918958721296E-2</v>
      </c>
      <c r="F50" s="25">
        <f t="shared" si="2"/>
        <v>1515.9758116035073</v>
      </c>
      <c r="G50" s="26">
        <f t="shared" si="3"/>
        <v>75.798790580175364</v>
      </c>
      <c r="H50" s="26">
        <f t="shared" si="0"/>
        <v>1591.7746021836826</v>
      </c>
    </row>
    <row r="51" spans="1:8" customFormat="1" hidden="1" x14ac:dyDescent="0.25">
      <c r="A51" s="20" t="s">
        <v>115</v>
      </c>
      <c r="B51" s="21" t="s">
        <v>116</v>
      </c>
      <c r="C51" s="22">
        <v>26480299000112</v>
      </c>
      <c r="D51" s="23"/>
      <c r="E51" s="24">
        <f t="shared" si="1"/>
        <v>0</v>
      </c>
      <c r="F51" s="25">
        <f t="shared" si="2"/>
        <v>0</v>
      </c>
      <c r="G51" s="26">
        <f t="shared" si="3"/>
        <v>0</v>
      </c>
      <c r="H51" s="26">
        <f t="shared" si="0"/>
        <v>0</v>
      </c>
    </row>
    <row r="52" spans="1:8" customFormat="1" hidden="1" x14ac:dyDescent="0.25">
      <c r="A52" s="20" t="s">
        <v>117</v>
      </c>
      <c r="B52" s="21" t="s">
        <v>118</v>
      </c>
      <c r="C52" s="22" t="s">
        <v>119</v>
      </c>
      <c r="D52" s="23">
        <v>4943</v>
      </c>
      <c r="E52" s="24">
        <f t="shared" si="1"/>
        <v>1.567438179420079E-2</v>
      </c>
      <c r="F52" s="25">
        <f t="shared" si="2"/>
        <v>1356.2838799558617</v>
      </c>
      <c r="G52" s="26">
        <f t="shared" si="3"/>
        <v>67.814193997793083</v>
      </c>
      <c r="H52" s="26">
        <f t="shared" si="0"/>
        <v>1424.0980739536549</v>
      </c>
    </row>
    <row r="53" spans="1:8" customFormat="1" hidden="1" x14ac:dyDescent="0.25">
      <c r="A53" s="20" t="s">
        <v>120</v>
      </c>
      <c r="B53" s="21" t="s">
        <v>121</v>
      </c>
      <c r="C53" s="22">
        <v>12997366000166</v>
      </c>
      <c r="D53" s="23">
        <v>5160</v>
      </c>
      <c r="E53" s="24">
        <f t="shared" si="1"/>
        <v>1.6362494448326135E-2</v>
      </c>
      <c r="F53" s="25">
        <f t="shared" si="2"/>
        <v>1415.8253733708775</v>
      </c>
      <c r="G53" s="26">
        <f t="shared" si="3"/>
        <v>70.791268668543879</v>
      </c>
      <c r="H53" s="26">
        <f t="shared" si="0"/>
        <v>1486.6166420394213</v>
      </c>
    </row>
    <row r="54" spans="1:8" customFormat="1" ht="16.5" hidden="1" customHeight="1" x14ac:dyDescent="0.25">
      <c r="A54" s="20" t="s">
        <v>122</v>
      </c>
      <c r="B54" s="21" t="s">
        <v>123</v>
      </c>
      <c r="C54" s="22" t="s">
        <v>124</v>
      </c>
      <c r="D54" s="23">
        <v>6586</v>
      </c>
      <c r="E54" s="24">
        <f t="shared" si="1"/>
        <v>2.0884377604006962E-2</v>
      </c>
      <c r="F54" s="25">
        <f t="shared" si="2"/>
        <v>1807.0980443838371</v>
      </c>
      <c r="G54" s="26">
        <f t="shared" si="3"/>
        <v>90.354902219191857</v>
      </c>
      <c r="H54" s="26">
        <f t="shared" si="0"/>
        <v>1897.452946603029</v>
      </c>
    </row>
    <row r="55" spans="1:8" customFormat="1" hidden="1" x14ac:dyDescent="0.25">
      <c r="A55" s="20" t="s">
        <v>125</v>
      </c>
      <c r="B55" s="21" t="s">
        <v>126</v>
      </c>
      <c r="C55" s="22">
        <v>11884518000151</v>
      </c>
      <c r="D55" s="23">
        <v>5644</v>
      </c>
      <c r="E55" s="24">
        <f t="shared" si="1"/>
        <v>1.7897271059370678E-2</v>
      </c>
      <c r="F55" s="25">
        <f t="shared" si="2"/>
        <v>1548.6275983149676</v>
      </c>
      <c r="G55" s="26">
        <f t="shared" si="3"/>
        <v>77.43137991574838</v>
      </c>
      <c r="H55" s="26">
        <f t="shared" si="0"/>
        <v>1626.0589782307161</v>
      </c>
    </row>
    <row r="56" spans="1:8" s="63" customFormat="1" hidden="1" x14ac:dyDescent="0.25">
      <c r="A56" s="56" t="s">
        <v>147</v>
      </c>
      <c r="B56" s="57" t="s">
        <v>148</v>
      </c>
      <c r="C56" s="58">
        <v>41142377000162</v>
      </c>
      <c r="D56" s="59">
        <v>1134.82</v>
      </c>
      <c r="E56" s="60">
        <f t="shared" si="1"/>
        <v>3.5985437887305158E-3</v>
      </c>
      <c r="F56" s="25">
        <f t="shared" si="2"/>
        <v>311.37731593192615</v>
      </c>
      <c r="G56" s="62">
        <f t="shared" si="3"/>
        <v>15.568865796596308</v>
      </c>
      <c r="H56" s="62">
        <f t="shared" si="0"/>
        <v>326.94618172852245</v>
      </c>
    </row>
    <row r="57" spans="1:8" customFormat="1" hidden="1" x14ac:dyDescent="0.25">
      <c r="A57" s="20" t="s">
        <v>127</v>
      </c>
      <c r="B57" s="21" t="s">
        <v>128</v>
      </c>
      <c r="C57" s="22">
        <v>36188051000136</v>
      </c>
      <c r="D57" s="23">
        <v>6936</v>
      </c>
      <c r="E57" s="24">
        <f t="shared" si="1"/>
        <v>2.1994236723563966E-2</v>
      </c>
      <c r="F57" s="25">
        <f t="shared" si="2"/>
        <v>1903.1327111822493</v>
      </c>
      <c r="G57" s="26">
        <f t="shared" si="3"/>
        <v>95.156635559112473</v>
      </c>
      <c r="H57" s="26">
        <f t="shared" si="0"/>
        <v>1998.2893467413617</v>
      </c>
    </row>
    <row r="58" spans="1:8" customFormat="1" hidden="1" x14ac:dyDescent="0.25">
      <c r="A58" s="20" t="s">
        <v>129</v>
      </c>
      <c r="B58" s="21" t="s">
        <v>130</v>
      </c>
      <c r="C58" s="22" t="s">
        <v>131</v>
      </c>
      <c r="D58" s="23">
        <f>7425*40%</f>
        <v>2970</v>
      </c>
      <c r="E58" s="24">
        <f t="shared" si="1"/>
        <v>9.4179473859551579E-3</v>
      </c>
      <c r="F58" s="25">
        <f t="shared" si="2"/>
        <v>814.922743975098</v>
      </c>
      <c r="G58" s="26">
        <f t="shared" si="3"/>
        <v>40.746137198754901</v>
      </c>
      <c r="H58" s="26">
        <f t="shared" si="0"/>
        <v>855.66888117385292</v>
      </c>
    </row>
    <row r="59" spans="1:8" customFormat="1" hidden="1" x14ac:dyDescent="0.25">
      <c r="A59" s="20" t="s">
        <v>132</v>
      </c>
      <c r="B59" s="21" t="s">
        <v>133</v>
      </c>
      <c r="C59" s="22">
        <v>18741082000190</v>
      </c>
      <c r="D59" s="23">
        <v>12183</v>
      </c>
      <c r="E59" s="24">
        <f t="shared" si="1"/>
        <v>3.8632610438751415E-2</v>
      </c>
      <c r="F59" s="25">
        <f t="shared" si="2"/>
        <v>3342.8295588715896</v>
      </c>
      <c r="G59" s="26">
        <f t="shared" si="3"/>
        <v>167.1414779435795</v>
      </c>
      <c r="H59" s="26">
        <f t="shared" si="0"/>
        <v>3509.9710368151691</v>
      </c>
    </row>
    <row r="60" spans="1:8" customFormat="1" hidden="1" x14ac:dyDescent="0.25">
      <c r="A60" s="20" t="s">
        <v>134</v>
      </c>
      <c r="B60" s="21" t="s">
        <v>135</v>
      </c>
      <c r="C60" s="22" t="s">
        <v>136</v>
      </c>
      <c r="D60" s="23">
        <v>4814</v>
      </c>
      <c r="E60" s="24">
        <f t="shared" si="1"/>
        <v>1.5265319432992638E-2</v>
      </c>
      <c r="F60" s="25">
        <f t="shared" si="2"/>
        <v>1320.8882456215899</v>
      </c>
      <c r="G60" s="26">
        <f t="shared" si="3"/>
        <v>66.044412281079502</v>
      </c>
      <c r="H60" s="26">
        <f t="shared" si="0"/>
        <v>1386.9326579026695</v>
      </c>
    </row>
    <row r="61" spans="1:8" customFormat="1" hidden="1" x14ac:dyDescent="0.25">
      <c r="A61" s="20" t="s">
        <v>137</v>
      </c>
      <c r="B61" s="21" t="s">
        <v>138</v>
      </c>
      <c r="C61" s="22" t="s">
        <v>139</v>
      </c>
      <c r="D61" s="23">
        <v>3476.86</v>
      </c>
      <c r="E61" s="24">
        <f t="shared" si="1"/>
        <v>1.1025213652637054E-2</v>
      </c>
      <c r="F61" s="25">
        <f t="shared" si="2"/>
        <v>953.99740458493591</v>
      </c>
      <c r="G61" s="26">
        <f t="shared" si="3"/>
        <v>47.699870229246798</v>
      </c>
      <c r="H61" s="26">
        <f t="shared" si="0"/>
        <v>1001.6972748141827</v>
      </c>
    </row>
    <row r="62" spans="1:8" customFormat="1" hidden="1" x14ac:dyDescent="0.25">
      <c r="A62" s="20" t="s">
        <v>140</v>
      </c>
      <c r="B62" s="28" t="s">
        <v>141</v>
      </c>
      <c r="C62" s="22">
        <v>11884518000151</v>
      </c>
      <c r="D62" s="68">
        <f>81377.44-14717-3314-9239+11302+4126.33-9403</f>
        <v>60132.770000000004</v>
      </c>
      <c r="E62" s="24">
        <f t="shared" si="1"/>
        <v>0.19068258048206829</v>
      </c>
      <c r="F62" s="25">
        <f t="shared" si="2"/>
        <v>16499.515801758742</v>
      </c>
      <c r="G62" s="26">
        <f t="shared" si="3"/>
        <v>824.97579008793718</v>
      </c>
      <c r="H62" s="26">
        <f t="shared" si="0"/>
        <v>17324.49159184668</v>
      </c>
    </row>
    <row r="63" spans="1:8" customFormat="1" hidden="1" x14ac:dyDescent="0.25">
      <c r="A63" s="34"/>
      <c r="B63" s="35"/>
      <c r="C63" s="36" t="s">
        <v>142</v>
      </c>
      <c r="D63" s="37">
        <f>SUM(D18:D62)</f>
        <v>315355.33999999997</v>
      </c>
      <c r="E63" s="37">
        <f>SUM(E18:E62)</f>
        <v>1</v>
      </c>
      <c r="F63" s="37">
        <f>SUM(F18:F62)</f>
        <v>86528.7</v>
      </c>
      <c r="G63" s="37">
        <f>SUM(G18:G62)</f>
        <v>4326.4349999999995</v>
      </c>
      <c r="H63" s="37">
        <f>SUM(H18:H62)</f>
        <v>90855.135000000009</v>
      </c>
    </row>
    <row r="64" spans="1:8" s="80" customFormat="1" x14ac:dyDescent="0.25">
      <c r="B64" s="80" t="s">
        <v>39</v>
      </c>
      <c r="C64" s="81" t="s">
        <v>142</v>
      </c>
      <c r="D64" s="37">
        <f>D39+D40</f>
        <v>12256.8</v>
      </c>
      <c r="E64" s="37">
        <f>E39+E40</f>
        <v>3.8866632161675151E-2</v>
      </c>
      <c r="F64" s="82">
        <f>F39+F40</f>
        <v>3363.0791543279406</v>
      </c>
      <c r="G64" s="82">
        <f>G39+G40</f>
        <v>168.15395771639703</v>
      </c>
      <c r="H64" s="82">
        <f>H39+H40</f>
        <v>3531.2331120443373</v>
      </c>
    </row>
    <row r="65" spans="2:8" customFormat="1" x14ac:dyDescent="0.25">
      <c r="F65" s="41"/>
    </row>
    <row r="66" spans="2:8" customFormat="1" x14ac:dyDescent="0.25">
      <c r="B66" s="115" t="s">
        <v>143</v>
      </c>
      <c r="C66" s="115"/>
      <c r="F66" s="41"/>
    </row>
    <row r="67" spans="2:8" customFormat="1" x14ac:dyDescent="0.25">
      <c r="B67" s="116" t="s">
        <v>144</v>
      </c>
      <c r="C67" s="117"/>
      <c r="E67" s="41"/>
      <c r="H67" s="42"/>
    </row>
    <row r="68" spans="2:8" customFormat="1" x14ac:dyDescent="0.25">
      <c r="E68" s="41"/>
      <c r="H68" s="43"/>
    </row>
    <row r="69" spans="2:8" customFormat="1" x14ac:dyDescent="0.25">
      <c r="D69" s="44"/>
      <c r="E69" s="41"/>
      <c r="H69" s="42"/>
    </row>
    <row r="70" spans="2:8" customFormat="1" x14ac:dyDescent="0.25">
      <c r="E70" s="41"/>
    </row>
    <row r="71" spans="2:8" customFormat="1" x14ac:dyDescent="0.25"/>
    <row r="72" spans="2:8" customFormat="1" x14ac:dyDescent="0.25"/>
    <row r="73" spans="2:8" customFormat="1" x14ac:dyDescent="0.25"/>
    <row r="74" spans="2:8" customFormat="1" x14ac:dyDescent="0.25"/>
    <row r="75" spans="2:8" customFormat="1" x14ac:dyDescent="0.25"/>
    <row r="76" spans="2:8" customFormat="1" x14ac:dyDescent="0.25"/>
    <row r="77" spans="2:8" customFormat="1" x14ac:dyDescent="0.25"/>
    <row r="78" spans="2:8" customFormat="1" x14ac:dyDescent="0.25"/>
    <row r="79" spans="2:8" customFormat="1" x14ac:dyDescent="0.25"/>
    <row r="80" spans="2:8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spans="1:8" customFormat="1" x14ac:dyDescent="0.25"/>
    <row r="146" spans="1:8" customFormat="1" x14ac:dyDescent="0.25"/>
    <row r="147" spans="1:8" customFormat="1" x14ac:dyDescent="0.25"/>
    <row r="148" spans="1:8" customFormat="1" x14ac:dyDescent="0.25"/>
    <row r="149" spans="1:8" customFormat="1" x14ac:dyDescent="0.25"/>
    <row r="150" spans="1:8" customFormat="1" x14ac:dyDescent="0.25">
      <c r="A150" s="45"/>
      <c r="B150" s="45"/>
      <c r="C150" s="45"/>
      <c r="D150" s="45"/>
      <c r="E150" s="45"/>
    </row>
    <row r="151" spans="1:8" x14ac:dyDescent="0.25">
      <c r="F151"/>
      <c r="G151"/>
      <c r="H151"/>
    </row>
    <row r="152" spans="1:8" x14ac:dyDescent="0.25">
      <c r="F152"/>
      <c r="G152"/>
      <c r="H152"/>
    </row>
    <row r="153" spans="1:8" x14ac:dyDescent="0.25">
      <c r="F153"/>
      <c r="G153"/>
      <c r="H153"/>
    </row>
    <row r="154" spans="1:8" x14ac:dyDescent="0.25">
      <c r="F154"/>
      <c r="G154"/>
      <c r="H154"/>
    </row>
    <row r="155" spans="1:8" x14ac:dyDescent="0.25">
      <c r="F155"/>
      <c r="G155"/>
      <c r="H155"/>
    </row>
    <row r="156" spans="1:8" x14ac:dyDescent="0.25">
      <c r="F156"/>
      <c r="G156"/>
      <c r="H156"/>
    </row>
    <row r="157" spans="1:8" x14ac:dyDescent="0.25">
      <c r="F157"/>
      <c r="G157"/>
      <c r="H157"/>
    </row>
    <row r="158" spans="1:8" x14ac:dyDescent="0.25">
      <c r="F158"/>
      <c r="G158"/>
      <c r="H158"/>
    </row>
    <row r="159" spans="1:8" x14ac:dyDescent="0.25">
      <c r="F159"/>
      <c r="G159"/>
      <c r="H159"/>
    </row>
    <row r="160" spans="1:8" x14ac:dyDescent="0.25">
      <c r="F160"/>
      <c r="G160"/>
      <c r="H160"/>
    </row>
    <row r="161" spans="6:8" x14ac:dyDescent="0.25">
      <c r="F161"/>
      <c r="G161"/>
      <c r="H161"/>
    </row>
    <row r="162" spans="6:8" x14ac:dyDescent="0.25">
      <c r="F162"/>
      <c r="G162"/>
      <c r="H162"/>
    </row>
    <row r="163" spans="6:8" x14ac:dyDescent="0.25">
      <c r="F163"/>
      <c r="G163"/>
      <c r="H163"/>
    </row>
    <row r="164" spans="6:8" x14ac:dyDescent="0.25">
      <c r="F164"/>
      <c r="G164"/>
      <c r="H164"/>
    </row>
    <row r="165" spans="6:8" x14ac:dyDescent="0.25">
      <c r="F165"/>
      <c r="G165"/>
      <c r="H165"/>
    </row>
    <row r="166" spans="6:8" x14ac:dyDescent="0.25">
      <c r="F166"/>
      <c r="G166"/>
      <c r="H166"/>
    </row>
    <row r="167" spans="6:8" x14ac:dyDescent="0.25">
      <c r="F167"/>
      <c r="G167"/>
      <c r="H167"/>
    </row>
    <row r="168" spans="6:8" x14ac:dyDescent="0.25">
      <c r="F168"/>
      <c r="G168"/>
      <c r="H168"/>
    </row>
    <row r="169" spans="6:8" x14ac:dyDescent="0.25">
      <c r="F169"/>
      <c r="G169"/>
      <c r="H169"/>
    </row>
    <row r="170" spans="6:8" x14ac:dyDescent="0.25">
      <c r="F170"/>
      <c r="G170"/>
      <c r="H170"/>
    </row>
    <row r="171" spans="6:8" x14ac:dyDescent="0.25">
      <c r="F171"/>
      <c r="G171"/>
      <c r="H171"/>
    </row>
    <row r="172" spans="6:8" x14ac:dyDescent="0.25">
      <c r="F172"/>
      <c r="G172"/>
      <c r="H172"/>
    </row>
    <row r="173" spans="6:8" x14ac:dyDescent="0.25">
      <c r="F173"/>
      <c r="G173"/>
      <c r="H173"/>
    </row>
    <row r="174" spans="6:8" x14ac:dyDescent="0.25">
      <c r="F174"/>
      <c r="G174"/>
      <c r="H174"/>
    </row>
    <row r="175" spans="6:8" x14ac:dyDescent="0.25">
      <c r="F175"/>
      <c r="G175"/>
      <c r="H175"/>
    </row>
    <row r="176" spans="6:8" x14ac:dyDescent="0.25">
      <c r="F176"/>
      <c r="G176"/>
      <c r="H176"/>
    </row>
    <row r="177" spans="6:8" x14ac:dyDescent="0.25">
      <c r="F177"/>
      <c r="G177"/>
      <c r="H177"/>
    </row>
    <row r="178" spans="6:8" x14ac:dyDescent="0.25">
      <c r="F178"/>
      <c r="G178"/>
      <c r="H178"/>
    </row>
    <row r="179" spans="6:8" x14ac:dyDescent="0.25">
      <c r="F179"/>
      <c r="G179"/>
      <c r="H179"/>
    </row>
    <row r="180" spans="6:8" x14ac:dyDescent="0.25">
      <c r="F180"/>
      <c r="G180"/>
      <c r="H180"/>
    </row>
    <row r="181" spans="6:8" x14ac:dyDescent="0.25">
      <c r="F181"/>
      <c r="G181"/>
      <c r="H181"/>
    </row>
    <row r="182" spans="6:8" x14ac:dyDescent="0.25">
      <c r="F182"/>
      <c r="G182"/>
      <c r="H182"/>
    </row>
    <row r="183" spans="6:8" x14ac:dyDescent="0.25">
      <c r="F183"/>
      <c r="G183"/>
      <c r="H183"/>
    </row>
    <row r="184" spans="6:8" x14ac:dyDescent="0.25">
      <c r="F184"/>
      <c r="G184"/>
      <c r="H184"/>
    </row>
    <row r="185" spans="6:8" x14ac:dyDescent="0.25">
      <c r="F185"/>
      <c r="G185"/>
      <c r="H185"/>
    </row>
    <row r="186" spans="6:8" x14ac:dyDescent="0.25">
      <c r="F186"/>
      <c r="G186"/>
      <c r="H186"/>
    </row>
    <row r="187" spans="6:8" x14ac:dyDescent="0.25">
      <c r="F187"/>
      <c r="G187"/>
      <c r="H187"/>
    </row>
    <row r="188" spans="6:8" x14ac:dyDescent="0.25">
      <c r="F188"/>
      <c r="G188"/>
      <c r="H188"/>
    </row>
    <row r="189" spans="6:8" x14ac:dyDescent="0.25">
      <c r="F189"/>
      <c r="G189"/>
      <c r="H189"/>
    </row>
    <row r="190" spans="6:8" x14ac:dyDescent="0.25">
      <c r="F190"/>
      <c r="G190"/>
      <c r="H190"/>
    </row>
    <row r="191" spans="6:8" x14ac:dyDescent="0.25">
      <c r="F191"/>
      <c r="G191"/>
      <c r="H191"/>
    </row>
    <row r="192" spans="6:8" x14ac:dyDescent="0.25">
      <c r="F192"/>
      <c r="G192"/>
      <c r="H192"/>
    </row>
    <row r="193" spans="6:8" x14ac:dyDescent="0.25">
      <c r="F193"/>
      <c r="G193"/>
      <c r="H193"/>
    </row>
    <row r="194" spans="6:8" x14ac:dyDescent="0.25">
      <c r="F194"/>
      <c r="G194"/>
      <c r="H194"/>
    </row>
    <row r="195" spans="6:8" x14ac:dyDescent="0.25">
      <c r="F195"/>
      <c r="G195"/>
      <c r="H195"/>
    </row>
    <row r="196" spans="6:8" x14ac:dyDescent="0.25">
      <c r="F196"/>
      <c r="G196"/>
      <c r="H196"/>
    </row>
    <row r="197" spans="6:8" x14ac:dyDescent="0.25">
      <c r="F197"/>
      <c r="G197"/>
      <c r="H197"/>
    </row>
    <row r="198" spans="6:8" x14ac:dyDescent="0.25">
      <c r="F198"/>
      <c r="G198"/>
      <c r="H198"/>
    </row>
    <row r="199" spans="6:8" x14ac:dyDescent="0.25">
      <c r="F199"/>
      <c r="G199"/>
      <c r="H199"/>
    </row>
    <row r="200" spans="6:8" x14ac:dyDescent="0.25">
      <c r="F200"/>
      <c r="G200"/>
      <c r="H200"/>
    </row>
    <row r="201" spans="6:8" x14ac:dyDescent="0.25">
      <c r="F201"/>
      <c r="G201"/>
      <c r="H201"/>
    </row>
    <row r="202" spans="6:8" x14ac:dyDescent="0.25">
      <c r="F202"/>
      <c r="G202"/>
      <c r="H202"/>
    </row>
    <row r="203" spans="6:8" x14ac:dyDescent="0.25">
      <c r="F203"/>
      <c r="G203"/>
      <c r="H203"/>
    </row>
    <row r="204" spans="6:8" x14ac:dyDescent="0.25">
      <c r="F204"/>
      <c r="G204"/>
      <c r="H204"/>
    </row>
    <row r="205" spans="6:8" x14ac:dyDescent="0.25">
      <c r="F205"/>
      <c r="G205"/>
      <c r="H205"/>
    </row>
    <row r="206" spans="6:8" x14ac:dyDescent="0.25">
      <c r="F206"/>
      <c r="G206"/>
      <c r="H206"/>
    </row>
    <row r="207" spans="6:8" x14ac:dyDescent="0.25">
      <c r="F207"/>
      <c r="G207"/>
      <c r="H207"/>
    </row>
    <row r="208" spans="6:8" x14ac:dyDescent="0.25">
      <c r="F208"/>
      <c r="G208"/>
      <c r="H208"/>
    </row>
    <row r="209" spans="6:8" x14ac:dyDescent="0.25">
      <c r="F209"/>
      <c r="G209"/>
      <c r="H209"/>
    </row>
    <row r="210" spans="6:8" x14ac:dyDescent="0.25">
      <c r="F210"/>
      <c r="G210"/>
      <c r="H210"/>
    </row>
    <row r="211" spans="6:8" x14ac:dyDescent="0.25">
      <c r="F211"/>
      <c r="G211"/>
      <c r="H211"/>
    </row>
    <row r="212" spans="6:8" x14ac:dyDescent="0.25">
      <c r="F212"/>
      <c r="G212"/>
      <c r="H212"/>
    </row>
    <row r="213" spans="6:8" x14ac:dyDescent="0.25">
      <c r="F213"/>
      <c r="G213"/>
      <c r="H213"/>
    </row>
    <row r="214" spans="6:8" x14ac:dyDescent="0.25">
      <c r="F214"/>
      <c r="G214"/>
      <c r="H214"/>
    </row>
    <row r="215" spans="6:8" x14ac:dyDescent="0.25">
      <c r="F215"/>
      <c r="G215"/>
      <c r="H215"/>
    </row>
    <row r="216" spans="6:8" x14ac:dyDescent="0.25">
      <c r="F216"/>
      <c r="G216"/>
      <c r="H216"/>
    </row>
    <row r="217" spans="6:8" x14ac:dyDescent="0.25">
      <c r="F217"/>
      <c r="G217"/>
      <c r="H217"/>
    </row>
    <row r="218" spans="6:8" x14ac:dyDescent="0.25">
      <c r="F218"/>
      <c r="G218"/>
      <c r="H218"/>
    </row>
    <row r="219" spans="6:8" x14ac:dyDescent="0.25">
      <c r="F219"/>
      <c r="G219"/>
      <c r="H219"/>
    </row>
    <row r="220" spans="6:8" x14ac:dyDescent="0.25">
      <c r="F220"/>
      <c r="G220"/>
      <c r="H220"/>
    </row>
    <row r="221" spans="6:8" x14ac:dyDescent="0.25">
      <c r="F221"/>
      <c r="G221"/>
      <c r="H221"/>
    </row>
    <row r="222" spans="6:8" x14ac:dyDescent="0.25">
      <c r="F222"/>
      <c r="G222"/>
      <c r="H222"/>
    </row>
    <row r="223" spans="6:8" x14ac:dyDescent="0.25">
      <c r="F223"/>
      <c r="G223"/>
      <c r="H223"/>
    </row>
    <row r="224" spans="6:8" x14ac:dyDescent="0.25">
      <c r="F224"/>
      <c r="G224"/>
      <c r="H224"/>
    </row>
    <row r="225" spans="6:8" x14ac:dyDescent="0.25">
      <c r="F225"/>
      <c r="G225"/>
      <c r="H225"/>
    </row>
    <row r="226" spans="6:8" x14ac:dyDescent="0.25">
      <c r="F226"/>
      <c r="G226"/>
      <c r="H226"/>
    </row>
    <row r="227" spans="6:8" x14ac:dyDescent="0.25">
      <c r="F227"/>
      <c r="G227"/>
      <c r="H227"/>
    </row>
    <row r="228" spans="6:8" x14ac:dyDescent="0.25">
      <c r="F228"/>
      <c r="G228"/>
      <c r="H228"/>
    </row>
    <row r="229" spans="6:8" x14ac:dyDescent="0.25">
      <c r="F229"/>
      <c r="G229"/>
      <c r="H229"/>
    </row>
    <row r="230" spans="6:8" x14ac:dyDescent="0.25">
      <c r="F230"/>
      <c r="G230"/>
      <c r="H230"/>
    </row>
    <row r="231" spans="6:8" x14ac:dyDescent="0.25">
      <c r="F231"/>
      <c r="G231"/>
      <c r="H231"/>
    </row>
    <row r="232" spans="6:8" x14ac:dyDescent="0.25">
      <c r="G232"/>
      <c r="H232"/>
    </row>
  </sheetData>
  <autoFilter ref="A17:H63" xr:uid="{5DB2FCE0-CA56-4A8C-8975-092389D7FF1A}">
    <filterColumn colId="0">
      <filters>
        <filter val="Franenge"/>
      </filters>
    </filterColumn>
  </autoFilter>
  <mergeCells count="3">
    <mergeCell ref="B1:G1"/>
    <mergeCell ref="B66:C66"/>
    <mergeCell ref="B67:C67"/>
  </mergeCells>
  <pageMargins left="0.511811024" right="0.511811024" top="0.78740157499999996" bottom="0.78740157499999996" header="0.31496062000000002" footer="0.3149606200000000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31"/>
  <sheetViews>
    <sheetView topLeftCell="B52" zoomScale="110" zoomScaleNormal="110" workbookViewId="0">
      <selection activeCell="E31" sqref="E31"/>
    </sheetView>
  </sheetViews>
  <sheetFormatPr defaultColWidth="9.140625" defaultRowHeight="15" x14ac:dyDescent="0.25"/>
  <cols>
    <col min="1" max="1" width="29.5703125" style="45" customWidth="1"/>
    <col min="2" max="2" width="45.28515625" style="45" customWidth="1"/>
    <col min="3" max="3" width="29.7109375" style="45" customWidth="1"/>
    <col min="4" max="4" width="21.42578125" style="45" customWidth="1"/>
    <col min="5" max="5" width="17.42578125" style="45" customWidth="1"/>
    <col min="6" max="6" width="16.42578125" style="45" customWidth="1"/>
    <col min="7" max="7" width="17.140625" style="45" customWidth="1"/>
    <col min="8" max="8" width="16.85546875" style="45" bestFit="1" customWidth="1"/>
    <col min="9" max="16384" width="9.140625" style="45"/>
  </cols>
  <sheetData>
    <row r="1" spans="1:8" customFormat="1" ht="21.75" customHeight="1" x14ac:dyDescent="0.25">
      <c r="A1" s="46"/>
      <c r="B1" s="112" t="s">
        <v>0</v>
      </c>
      <c r="C1" s="113"/>
      <c r="D1" s="113"/>
      <c r="E1" s="113"/>
      <c r="F1" s="113"/>
      <c r="G1" s="114"/>
      <c r="H1" s="47"/>
    </row>
    <row r="2" spans="1:8" customFormat="1" ht="30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3"/>
      <c r="F2" s="4" t="s">
        <v>5</v>
      </c>
      <c r="G2" s="5"/>
      <c r="H2" s="6"/>
    </row>
    <row r="3" spans="1:8" customFormat="1" ht="30.6" customHeight="1" x14ac:dyDescent="0.25">
      <c r="A3" s="7">
        <v>1</v>
      </c>
      <c r="B3" s="8" t="s">
        <v>6</v>
      </c>
      <c r="C3" s="8"/>
      <c r="D3" s="9">
        <v>45658</v>
      </c>
      <c r="E3" s="9"/>
      <c r="F3" s="10">
        <f>532.69+550</f>
        <v>1082.69</v>
      </c>
      <c r="G3" s="5"/>
      <c r="H3" s="6"/>
    </row>
    <row r="4" spans="1:8" customFormat="1" ht="30.6" customHeight="1" x14ac:dyDescent="0.25">
      <c r="A4" s="7">
        <v>2</v>
      </c>
      <c r="B4" s="8" t="s">
        <v>7</v>
      </c>
      <c r="C4" s="8"/>
      <c r="D4" s="9">
        <v>45658</v>
      </c>
      <c r="E4" s="9"/>
      <c r="F4" s="10">
        <v>629.71</v>
      </c>
      <c r="G4" s="5"/>
      <c r="H4" s="11"/>
    </row>
    <row r="5" spans="1:8" customFormat="1" ht="30.6" customHeight="1" x14ac:dyDescent="0.25">
      <c r="A5" s="7">
        <v>3</v>
      </c>
      <c r="B5" s="8" t="s">
        <v>8</v>
      </c>
      <c r="C5" s="8" t="s">
        <v>9</v>
      </c>
      <c r="D5" s="9">
        <v>45658</v>
      </c>
      <c r="E5" s="9"/>
      <c r="F5" s="10">
        <f>30543.5+1110+370+1720.5+3256+10.74+5.67+1.22</f>
        <v>37017.629999999997</v>
      </c>
      <c r="G5" s="5"/>
      <c r="H5" s="11"/>
    </row>
    <row r="6" spans="1:8" customFormat="1" ht="30.6" customHeight="1" x14ac:dyDescent="0.25">
      <c r="A6" s="7">
        <v>4</v>
      </c>
      <c r="B6" s="8" t="s">
        <v>10</v>
      </c>
      <c r="C6" s="12" t="s">
        <v>11</v>
      </c>
      <c r="D6" s="9">
        <v>45658</v>
      </c>
      <c r="E6" s="9"/>
      <c r="F6" s="10">
        <f>38676.1+7.01</f>
        <v>38683.11</v>
      </c>
      <c r="G6" s="5"/>
      <c r="H6" s="11"/>
    </row>
    <row r="7" spans="1:8" customFormat="1" ht="30.6" customHeight="1" x14ac:dyDescent="0.25">
      <c r="A7" s="7">
        <v>5</v>
      </c>
      <c r="B7" s="8" t="s">
        <v>12</v>
      </c>
      <c r="C7" s="8"/>
      <c r="D7" s="9">
        <v>45658</v>
      </c>
      <c r="E7" s="9"/>
      <c r="F7" s="10">
        <v>373.75</v>
      </c>
      <c r="G7" s="5"/>
      <c r="H7" s="6"/>
    </row>
    <row r="8" spans="1:8" customFormat="1" ht="30.6" customHeight="1" x14ac:dyDescent="0.25">
      <c r="A8" s="7">
        <v>6</v>
      </c>
      <c r="B8" s="8" t="s">
        <v>13</v>
      </c>
      <c r="C8" s="8" t="s">
        <v>14</v>
      </c>
      <c r="D8" s="9">
        <v>45658</v>
      </c>
      <c r="E8" s="9"/>
      <c r="F8" s="13">
        <v>1412</v>
      </c>
      <c r="G8" s="5"/>
      <c r="H8" s="6"/>
    </row>
    <row r="9" spans="1:8" customFormat="1" ht="30.6" customHeight="1" x14ac:dyDescent="0.25">
      <c r="A9" s="7">
        <v>7</v>
      </c>
      <c r="B9" s="8" t="s">
        <v>15</v>
      </c>
      <c r="C9" s="8" t="s">
        <v>16</v>
      </c>
      <c r="D9" s="9">
        <v>45658</v>
      </c>
      <c r="E9" s="9"/>
      <c r="F9" s="13">
        <v>2500</v>
      </c>
      <c r="G9" s="5"/>
      <c r="H9" s="6"/>
    </row>
    <row r="10" spans="1:8" customFormat="1" ht="34.5" customHeight="1" x14ac:dyDescent="0.25">
      <c r="A10" s="7">
        <v>8</v>
      </c>
      <c r="B10" s="14" t="s">
        <v>17</v>
      </c>
      <c r="C10" s="12" t="s">
        <v>18</v>
      </c>
      <c r="D10" s="9">
        <v>45658</v>
      </c>
      <c r="E10" s="9"/>
      <c r="F10" s="13">
        <v>880</v>
      </c>
      <c r="G10" s="5"/>
      <c r="H10" s="6"/>
    </row>
    <row r="11" spans="1:8" customFormat="1" ht="30.6" customHeight="1" x14ac:dyDescent="0.25">
      <c r="A11" s="7">
        <v>9</v>
      </c>
      <c r="B11" s="14" t="s">
        <v>19</v>
      </c>
      <c r="C11" s="14" t="s">
        <v>20</v>
      </c>
      <c r="D11" s="9">
        <v>45658</v>
      </c>
      <c r="E11" s="9"/>
      <c r="F11" s="13">
        <v>214.34</v>
      </c>
      <c r="G11" s="5"/>
      <c r="H11" s="6"/>
    </row>
    <row r="12" spans="1:8" customFormat="1" ht="30.6" customHeight="1" x14ac:dyDescent="0.25">
      <c r="A12" s="7">
        <v>10</v>
      </c>
      <c r="B12" s="14" t="s">
        <v>21</v>
      </c>
      <c r="C12" s="12" t="s">
        <v>22</v>
      </c>
      <c r="D12" s="9">
        <v>45658</v>
      </c>
      <c r="E12" s="9"/>
      <c r="F12" s="13">
        <v>385</v>
      </c>
      <c r="G12" s="5"/>
      <c r="H12" s="15"/>
    </row>
    <row r="13" spans="1:8" customFormat="1" ht="30.6" customHeight="1" x14ac:dyDescent="0.25">
      <c r="A13" s="7">
        <v>11</v>
      </c>
      <c r="B13" s="14" t="s">
        <v>23</v>
      </c>
      <c r="C13" s="8"/>
      <c r="D13" s="9">
        <v>45658</v>
      </c>
      <c r="E13" s="9"/>
      <c r="F13" s="13">
        <v>70</v>
      </c>
      <c r="G13" s="5"/>
      <c r="H13" s="6"/>
    </row>
    <row r="14" spans="1:8" customFormat="1" ht="31.5" customHeight="1" x14ac:dyDescent="0.25">
      <c r="A14" s="7">
        <v>12</v>
      </c>
      <c r="B14" s="14" t="s">
        <v>24</v>
      </c>
      <c r="C14" s="12" t="s">
        <v>25</v>
      </c>
      <c r="D14" s="9">
        <v>45658</v>
      </c>
      <c r="E14" s="9"/>
      <c r="F14" s="13">
        <v>352.5</v>
      </c>
      <c r="G14" s="5"/>
      <c r="H14" s="6"/>
    </row>
    <row r="15" spans="1:8" customFormat="1" ht="31.5" customHeight="1" x14ac:dyDescent="0.25">
      <c r="A15" s="7">
        <v>12</v>
      </c>
      <c r="B15" s="14" t="s">
        <v>26</v>
      </c>
      <c r="C15" s="12" t="s">
        <v>27</v>
      </c>
      <c r="D15" s="9">
        <v>45658</v>
      </c>
      <c r="E15" s="9"/>
      <c r="F15" s="13">
        <v>72.59</v>
      </c>
      <c r="G15" s="5"/>
      <c r="H15" s="6"/>
    </row>
    <row r="16" spans="1:8" customFormat="1" ht="31.5" customHeight="1" x14ac:dyDescent="0.25">
      <c r="A16" s="7">
        <v>12</v>
      </c>
      <c r="B16" s="14" t="s">
        <v>26</v>
      </c>
      <c r="C16" s="12" t="s">
        <v>28</v>
      </c>
      <c r="D16" s="9">
        <v>45658</v>
      </c>
      <c r="E16" s="9"/>
      <c r="F16" s="13">
        <v>859</v>
      </c>
      <c r="G16" s="5"/>
      <c r="H16" s="6"/>
    </row>
    <row r="17" spans="1:12" customFormat="1" ht="34.5" customHeight="1" x14ac:dyDescent="0.25">
      <c r="A17" s="7">
        <v>13</v>
      </c>
      <c r="B17" s="14" t="s">
        <v>29</v>
      </c>
      <c r="C17" s="12" t="s">
        <v>30</v>
      </c>
      <c r="D17" s="9">
        <v>45658</v>
      </c>
      <c r="E17" s="9"/>
      <c r="F17" s="13">
        <v>369.39</v>
      </c>
      <c r="G17" s="5"/>
      <c r="H17" s="6"/>
    </row>
    <row r="18" spans="1:12" customFormat="1" ht="42" customHeight="1" x14ac:dyDescent="0.25">
      <c r="A18" s="48"/>
      <c r="B18" s="49" t="s">
        <v>31</v>
      </c>
      <c r="C18" s="50"/>
      <c r="D18" s="51"/>
      <c r="E18" s="52"/>
      <c r="F18" s="53">
        <f>SUM(F3:F17)</f>
        <v>84901.709999999992</v>
      </c>
      <c r="G18" s="54"/>
      <c r="H18" s="55"/>
    </row>
    <row r="19" spans="1:12" customFormat="1" ht="21.75" customHeight="1" x14ac:dyDescent="0.25">
      <c r="A19" s="16" t="s">
        <v>32</v>
      </c>
      <c r="B19" s="17" t="s">
        <v>33</v>
      </c>
      <c r="C19" s="18" t="s">
        <v>34</v>
      </c>
      <c r="D19" s="16" t="s">
        <v>35</v>
      </c>
      <c r="E19" s="16" t="s">
        <v>36</v>
      </c>
      <c r="F19" s="16" t="s">
        <v>37</v>
      </c>
      <c r="G19" s="19" t="s">
        <v>38</v>
      </c>
      <c r="H19" s="18" t="s">
        <v>39</v>
      </c>
    </row>
    <row r="20" spans="1:12" s="27" customFormat="1" ht="15" customHeight="1" x14ac:dyDescent="0.25">
      <c r="A20" s="20" t="s">
        <v>40</v>
      </c>
      <c r="B20" s="21" t="s">
        <v>41</v>
      </c>
      <c r="C20" s="22" t="s">
        <v>42</v>
      </c>
      <c r="D20" s="23">
        <v>4016</v>
      </c>
      <c r="E20" s="24">
        <f>D20/$D$62</f>
        <v>1.326749273987997E-2</v>
      </c>
      <c r="F20" s="25">
        <f>$F$18*E20</f>
        <v>1126.4328210283945</v>
      </c>
      <c r="G20" s="26">
        <f>F20*5%</f>
        <v>56.321641051419732</v>
      </c>
      <c r="H20" s="26">
        <f t="shared" ref="H20:H61" si="0">F20+G20</f>
        <v>1182.7544620798142</v>
      </c>
    </row>
    <row r="21" spans="1:12" customFormat="1" x14ac:dyDescent="0.25">
      <c r="A21" s="20" t="s">
        <v>43</v>
      </c>
      <c r="B21" s="28" t="s">
        <v>44</v>
      </c>
      <c r="C21" s="22">
        <v>18778225000139</v>
      </c>
      <c r="D21" s="23">
        <v>8711.2199999999993</v>
      </c>
      <c r="E21" s="24">
        <f t="shared" ref="E21:E61" si="1">D21/$D$62</f>
        <v>2.8778896440611847E-2</v>
      </c>
      <c r="F21" s="25">
        <f t="shared" ref="F21:F61" si="2">$F$18*E21</f>
        <v>2443.3775197208593</v>
      </c>
      <c r="G21" s="26">
        <f t="shared" ref="G21:G61" si="3">F21*5%</f>
        <v>122.16887598604296</v>
      </c>
      <c r="H21" s="26">
        <f t="shared" si="0"/>
        <v>2565.5463957069023</v>
      </c>
    </row>
    <row r="22" spans="1:12" customFormat="1" x14ac:dyDescent="0.25">
      <c r="A22" s="20" t="s">
        <v>45</v>
      </c>
      <c r="B22" s="28" t="s">
        <v>46</v>
      </c>
      <c r="C22" s="22">
        <v>41993875000119</v>
      </c>
      <c r="D22" s="23">
        <v>3641.8</v>
      </c>
      <c r="E22" s="24">
        <f t="shared" si="1"/>
        <v>1.2031263710182987E-2</v>
      </c>
      <c r="F22" s="25">
        <f t="shared" si="2"/>
        <v>1021.47486245548</v>
      </c>
      <c r="G22" s="26">
        <f t="shared" si="3"/>
        <v>51.073743122774005</v>
      </c>
      <c r="H22" s="26">
        <f t="shared" si="0"/>
        <v>1072.548605578254</v>
      </c>
    </row>
    <row r="23" spans="1:12" customFormat="1" x14ac:dyDescent="0.25">
      <c r="A23" s="20" t="s">
        <v>47</v>
      </c>
      <c r="B23" s="21" t="s">
        <v>48</v>
      </c>
      <c r="C23" s="22">
        <v>24781302000102</v>
      </c>
      <c r="D23" s="23">
        <v>3430</v>
      </c>
      <c r="E23" s="24">
        <f t="shared" si="1"/>
        <v>1.1331548829130553E-2</v>
      </c>
      <c r="F23" s="25">
        <f t="shared" si="2"/>
        <v>962.0678725416816</v>
      </c>
      <c r="G23" s="26">
        <f t="shared" si="3"/>
        <v>48.103393627084081</v>
      </c>
      <c r="H23" s="26">
        <f t="shared" si="0"/>
        <v>1010.1712661687657</v>
      </c>
    </row>
    <row r="24" spans="1:12" customFormat="1" x14ac:dyDescent="0.25">
      <c r="A24" s="20" t="s">
        <v>49</v>
      </c>
      <c r="B24" s="21" t="s">
        <v>50</v>
      </c>
      <c r="C24" s="22">
        <v>38649716000197</v>
      </c>
      <c r="D24" s="23">
        <v>3440</v>
      </c>
      <c r="E24" s="24">
        <f t="shared" si="1"/>
        <v>1.1364585414638221E-2</v>
      </c>
      <c r="F24" s="25">
        <f t="shared" si="2"/>
        <v>964.8727351438439</v>
      </c>
      <c r="G24" s="26">
        <f t="shared" si="3"/>
        <v>48.243636757192199</v>
      </c>
      <c r="H24" s="26">
        <f t="shared" si="0"/>
        <v>1013.1163719010361</v>
      </c>
    </row>
    <row r="25" spans="1:12" customFormat="1" x14ac:dyDescent="0.25">
      <c r="A25" s="20" t="s">
        <v>51</v>
      </c>
      <c r="B25" s="21" t="s">
        <v>52</v>
      </c>
      <c r="C25" s="22" t="s">
        <v>53</v>
      </c>
      <c r="D25" s="23">
        <v>4056</v>
      </c>
      <c r="E25" s="24">
        <f t="shared" si="1"/>
        <v>1.3399639081910646E-2</v>
      </c>
      <c r="F25" s="25">
        <f t="shared" si="2"/>
        <v>1137.6522714370437</v>
      </c>
      <c r="G25" s="26">
        <f t="shared" si="3"/>
        <v>56.88261357185219</v>
      </c>
      <c r="H25" s="26">
        <f t="shared" si="0"/>
        <v>1194.534885008896</v>
      </c>
    </row>
    <row r="26" spans="1:12" customFormat="1" x14ac:dyDescent="0.25">
      <c r="A26" s="20" t="s">
        <v>54</v>
      </c>
      <c r="B26" s="21" t="s">
        <v>55</v>
      </c>
      <c r="C26" s="22" t="s">
        <v>56</v>
      </c>
      <c r="D26" s="23">
        <v>11580</v>
      </c>
      <c r="E26" s="24">
        <f t="shared" si="1"/>
        <v>3.8256366017880988E-2</v>
      </c>
      <c r="F26" s="25">
        <f t="shared" si="2"/>
        <v>3248.030893303986</v>
      </c>
      <c r="G26" s="26">
        <f t="shared" si="3"/>
        <v>162.40154466519931</v>
      </c>
      <c r="H26" s="26">
        <f t="shared" si="0"/>
        <v>3410.4324379691852</v>
      </c>
    </row>
    <row r="27" spans="1:12" customFormat="1" x14ac:dyDescent="0.25">
      <c r="A27" s="20" t="s">
        <v>57</v>
      </c>
      <c r="B27" s="21" t="s">
        <v>58</v>
      </c>
      <c r="C27" s="22" t="s">
        <v>59</v>
      </c>
      <c r="D27" s="23">
        <f>360+360+1510</f>
        <v>2230</v>
      </c>
      <c r="E27" s="24">
        <f t="shared" si="1"/>
        <v>7.3671585682102423E-3</v>
      </c>
      <c r="F27" s="25">
        <f t="shared" si="2"/>
        <v>625.48436028220112</v>
      </c>
      <c r="G27" s="26">
        <f t="shared" si="3"/>
        <v>31.274218014110058</v>
      </c>
      <c r="H27" s="26">
        <f t="shared" si="0"/>
        <v>656.75857829631116</v>
      </c>
    </row>
    <row r="28" spans="1:12" s="33" customFormat="1" ht="15.75" customHeight="1" x14ac:dyDescent="0.25">
      <c r="A28" s="20" t="s">
        <v>60</v>
      </c>
      <c r="B28" s="29" t="s">
        <v>61</v>
      </c>
      <c r="C28" s="30" t="s">
        <v>62</v>
      </c>
      <c r="D28" s="23">
        <f>5224+3930</f>
        <v>9154</v>
      </c>
      <c r="E28" s="24">
        <f t="shared" si="1"/>
        <v>3.0241690373720431E-2</v>
      </c>
      <c r="F28" s="25">
        <f t="shared" si="2"/>
        <v>2567.5712260194036</v>
      </c>
      <c r="G28" s="26">
        <f t="shared" si="3"/>
        <v>128.37856130097018</v>
      </c>
      <c r="H28" s="31">
        <f t="shared" si="0"/>
        <v>2695.9497873203736</v>
      </c>
      <c r="I28" s="32" t="s">
        <v>63</v>
      </c>
      <c r="L28" s="33" t="s">
        <v>64</v>
      </c>
    </row>
    <row r="29" spans="1:12" customFormat="1" ht="15.75" customHeight="1" x14ac:dyDescent="0.25">
      <c r="A29" s="20" t="s">
        <v>65</v>
      </c>
      <c r="B29" s="28" t="s">
        <v>66</v>
      </c>
      <c r="C29" s="22" t="s">
        <v>67</v>
      </c>
      <c r="D29" s="23">
        <v>2610</v>
      </c>
      <c r="E29" s="24">
        <f t="shared" si="1"/>
        <v>8.622548817501673E-3</v>
      </c>
      <c r="F29" s="25">
        <f t="shared" si="2"/>
        <v>732.06913916436986</v>
      </c>
      <c r="G29" s="26">
        <f t="shared" si="3"/>
        <v>36.603456958218494</v>
      </c>
      <c r="H29" s="26">
        <f t="shared" si="0"/>
        <v>768.6725961225884</v>
      </c>
    </row>
    <row r="30" spans="1:12" customFormat="1" ht="15.75" customHeight="1" x14ac:dyDescent="0.25">
      <c r="A30" s="20" t="s">
        <v>68</v>
      </c>
      <c r="B30" s="28" t="s">
        <v>69</v>
      </c>
      <c r="C30" s="22" t="s">
        <v>70</v>
      </c>
      <c r="D30" s="23">
        <v>5515</v>
      </c>
      <c r="E30" s="24">
        <f t="shared" si="1"/>
        <v>1.8219676907479589E-2</v>
      </c>
      <c r="F30" s="25">
        <f t="shared" si="2"/>
        <v>1546.8817250925288</v>
      </c>
      <c r="G30" s="26">
        <f t="shared" si="3"/>
        <v>77.344086254626447</v>
      </c>
      <c r="H30" s="26">
        <f t="shared" si="0"/>
        <v>1624.2258113471553</v>
      </c>
    </row>
    <row r="31" spans="1:12" customFormat="1" ht="15.75" customHeight="1" x14ac:dyDescent="0.25">
      <c r="A31" s="20" t="s">
        <v>216</v>
      </c>
      <c r="B31" s="21" t="s">
        <v>72</v>
      </c>
      <c r="C31" s="22">
        <v>17202383000183</v>
      </c>
      <c r="D31" s="23">
        <v>5420</v>
      </c>
      <c r="E31" s="24">
        <f t="shared" si="1"/>
        <v>1.7905829345156731E-2</v>
      </c>
      <c r="F31" s="25">
        <f t="shared" si="2"/>
        <v>1520.2355303719864</v>
      </c>
      <c r="G31" s="26">
        <f>F31*5%</f>
        <v>76.011776518599319</v>
      </c>
      <c r="H31" s="26">
        <f>F31+G31</f>
        <v>1596.2473068905858</v>
      </c>
    </row>
    <row r="32" spans="1:12" customFormat="1" ht="15.75" customHeight="1" x14ac:dyDescent="0.25">
      <c r="A32" s="20" t="s">
        <v>71</v>
      </c>
      <c r="B32" s="21" t="s">
        <v>72</v>
      </c>
      <c r="C32" s="22">
        <v>17202383000183</v>
      </c>
      <c r="D32" s="23">
        <v>15332</v>
      </c>
      <c r="E32" s="24">
        <f t="shared" si="1"/>
        <v>5.0651692900358494E-2</v>
      </c>
      <c r="F32" s="25">
        <f t="shared" si="2"/>
        <v>4300.4153416352956</v>
      </c>
      <c r="G32" s="26">
        <f t="shared" si="3"/>
        <v>215.0207670817648</v>
      </c>
      <c r="H32" s="26">
        <f t="shared" si="0"/>
        <v>4515.4361087170601</v>
      </c>
    </row>
    <row r="33" spans="1:12" customFormat="1" ht="15.75" customHeight="1" x14ac:dyDescent="0.25">
      <c r="A33" s="20" t="s">
        <v>73</v>
      </c>
      <c r="B33" s="21" t="s">
        <v>74</v>
      </c>
      <c r="C33" s="22">
        <v>18183488000103</v>
      </c>
      <c r="D33" s="23">
        <v>7238</v>
      </c>
      <c r="E33" s="24">
        <f t="shared" si="1"/>
        <v>2.3911880590451001E-2</v>
      </c>
      <c r="F33" s="25">
        <f t="shared" si="2"/>
        <v>2030.1595514450994</v>
      </c>
      <c r="G33" s="26">
        <f t="shared" si="3"/>
        <v>101.50797757225497</v>
      </c>
      <c r="H33" s="26">
        <f t="shared" si="0"/>
        <v>2131.6675290173544</v>
      </c>
    </row>
    <row r="34" spans="1:12" customFormat="1" x14ac:dyDescent="0.25">
      <c r="A34" s="20" t="s">
        <v>75</v>
      </c>
      <c r="B34" s="21" t="s">
        <v>76</v>
      </c>
      <c r="C34" s="22">
        <v>18244070000150</v>
      </c>
      <c r="D34" s="23">
        <v>5941</v>
      </c>
      <c r="E34" s="24">
        <f t="shared" si="1"/>
        <v>1.96270354501063E-2</v>
      </c>
      <c r="F34" s="25">
        <f t="shared" si="2"/>
        <v>1666.3688719446445</v>
      </c>
      <c r="G34" s="26">
        <f t="shared" si="3"/>
        <v>83.318443597232232</v>
      </c>
      <c r="H34" s="26">
        <f t="shared" si="0"/>
        <v>1749.6873155418768</v>
      </c>
    </row>
    <row r="35" spans="1:12" customFormat="1" x14ac:dyDescent="0.25">
      <c r="A35" s="20" t="s">
        <v>77</v>
      </c>
      <c r="B35" s="21" t="s">
        <v>78</v>
      </c>
      <c r="C35" s="22">
        <v>18244039000110</v>
      </c>
      <c r="D35" s="23">
        <v>4460</v>
      </c>
      <c r="E35" s="24">
        <f t="shared" si="1"/>
        <v>1.4734317136420485E-2</v>
      </c>
      <c r="F35" s="25">
        <f t="shared" si="2"/>
        <v>1250.9687205644022</v>
      </c>
      <c r="G35" s="26">
        <f t="shared" si="3"/>
        <v>62.548436028220117</v>
      </c>
      <c r="H35" s="26">
        <f t="shared" si="0"/>
        <v>1313.5171565926223</v>
      </c>
    </row>
    <row r="36" spans="1:12" customFormat="1" x14ac:dyDescent="0.25">
      <c r="A36" s="20" t="s">
        <v>79</v>
      </c>
      <c r="B36" s="21" t="s">
        <v>80</v>
      </c>
      <c r="C36" s="22">
        <v>15500591000133</v>
      </c>
      <c r="D36" s="23">
        <v>4415</v>
      </c>
      <c r="E36" s="24">
        <f t="shared" si="1"/>
        <v>1.4585652501635973E-2</v>
      </c>
      <c r="F36" s="25">
        <f t="shared" si="2"/>
        <v>1238.3468388546719</v>
      </c>
      <c r="G36" s="26">
        <f t="shared" si="3"/>
        <v>61.9173419427336</v>
      </c>
      <c r="H36" s="26">
        <f t="shared" si="0"/>
        <v>1300.2641807974055</v>
      </c>
    </row>
    <row r="37" spans="1:12" customFormat="1" x14ac:dyDescent="0.25">
      <c r="A37" s="20" t="s">
        <v>81</v>
      </c>
      <c r="B37" s="21" t="s">
        <v>82</v>
      </c>
      <c r="C37" s="22" t="s">
        <v>83</v>
      </c>
      <c r="D37" s="23">
        <v>8673</v>
      </c>
      <c r="E37" s="24">
        <f t="shared" si="1"/>
        <v>2.865263061080154E-2</v>
      </c>
      <c r="F37" s="25">
        <f t="shared" si="2"/>
        <v>2432.6573348553948</v>
      </c>
      <c r="G37" s="26">
        <f t="shared" si="3"/>
        <v>121.63286674276975</v>
      </c>
      <c r="H37" s="26">
        <f t="shared" si="0"/>
        <v>2554.2902015981645</v>
      </c>
    </row>
    <row r="38" spans="1:12" customFormat="1" x14ac:dyDescent="0.25">
      <c r="A38" s="20" t="s">
        <v>84</v>
      </c>
      <c r="B38" s="21" t="s">
        <v>85</v>
      </c>
      <c r="C38" s="22" t="s">
        <v>86</v>
      </c>
      <c r="D38" s="23">
        <v>9239</v>
      </c>
      <c r="E38" s="24">
        <f t="shared" si="1"/>
        <v>3.0522501350535618E-2</v>
      </c>
      <c r="F38" s="25">
        <f t="shared" si="2"/>
        <v>2591.412558137783</v>
      </c>
      <c r="G38" s="26">
        <f t="shared" si="3"/>
        <v>129.57062790688914</v>
      </c>
      <c r="H38" s="26">
        <f t="shared" si="0"/>
        <v>2720.983186044672</v>
      </c>
    </row>
    <row r="39" spans="1:12" customFormat="1" x14ac:dyDescent="0.25">
      <c r="A39" s="20" t="s">
        <v>87</v>
      </c>
      <c r="B39" s="21" t="s">
        <v>88</v>
      </c>
      <c r="C39" s="22" t="s">
        <v>89</v>
      </c>
      <c r="D39" s="23">
        <v>4892</v>
      </c>
      <c r="E39" s="24">
        <f t="shared" si="1"/>
        <v>1.6161497630351795E-2</v>
      </c>
      <c r="F39" s="25">
        <f t="shared" si="2"/>
        <v>1372.1387849778152</v>
      </c>
      <c r="G39" s="26">
        <f t="shared" si="3"/>
        <v>68.606939248890768</v>
      </c>
      <c r="H39" s="26">
        <f t="shared" si="0"/>
        <v>1440.745724226706</v>
      </c>
    </row>
    <row r="40" spans="1:12" customFormat="1" x14ac:dyDescent="0.25">
      <c r="A40" s="20" t="s">
        <v>90</v>
      </c>
      <c r="B40" s="21" t="s">
        <v>91</v>
      </c>
      <c r="C40" s="22">
        <v>41497649000147</v>
      </c>
      <c r="D40" s="23">
        <v>2526</v>
      </c>
      <c r="E40" s="24">
        <f t="shared" si="1"/>
        <v>8.3450414992372515E-3</v>
      </c>
      <c r="F40" s="25">
        <f t="shared" si="2"/>
        <v>708.50829330620627</v>
      </c>
      <c r="G40" s="26">
        <f t="shared" si="3"/>
        <v>35.425414665310313</v>
      </c>
      <c r="H40" s="26">
        <f t="shared" si="0"/>
        <v>743.93370797151658</v>
      </c>
    </row>
    <row r="41" spans="1:12" customFormat="1" x14ac:dyDescent="0.25">
      <c r="A41" s="20" t="s">
        <v>92</v>
      </c>
      <c r="B41" s="21" t="s">
        <v>93</v>
      </c>
      <c r="C41" s="22">
        <v>40580071000125</v>
      </c>
      <c r="D41" s="23">
        <v>3600</v>
      </c>
      <c r="E41" s="24">
        <f t="shared" si="1"/>
        <v>1.1893170782760929E-2</v>
      </c>
      <c r="F41" s="25">
        <f t="shared" si="2"/>
        <v>1009.7505367784413</v>
      </c>
      <c r="G41" s="26">
        <f t="shared" si="3"/>
        <v>50.487526838922065</v>
      </c>
      <c r="H41" s="26">
        <f t="shared" si="0"/>
        <v>1060.2380636173634</v>
      </c>
      <c r="I41" s="32" t="s">
        <v>63</v>
      </c>
      <c r="L41" t="s">
        <v>94</v>
      </c>
    </row>
    <row r="42" spans="1:12" customFormat="1" x14ac:dyDescent="0.25">
      <c r="A42" s="20" t="s">
        <v>95</v>
      </c>
      <c r="B42" s="21" t="s">
        <v>96</v>
      </c>
      <c r="C42" s="22" t="s">
        <v>97</v>
      </c>
      <c r="D42" s="23">
        <v>3938</v>
      </c>
      <c r="E42" s="24">
        <f t="shared" si="1"/>
        <v>1.300980737292015E-2</v>
      </c>
      <c r="F42" s="25">
        <f t="shared" si="2"/>
        <v>1104.5548927315283</v>
      </c>
      <c r="G42" s="26">
        <f t="shared" si="3"/>
        <v>55.227744636576418</v>
      </c>
      <c r="H42" s="26">
        <f t="shared" si="0"/>
        <v>1159.7826373681048</v>
      </c>
    </row>
    <row r="43" spans="1:12" customFormat="1" x14ac:dyDescent="0.25">
      <c r="A43" s="20" t="s">
        <v>98</v>
      </c>
      <c r="B43" s="21" t="s">
        <v>99</v>
      </c>
      <c r="C43" s="22">
        <v>18788190000119</v>
      </c>
      <c r="D43" s="23">
        <v>3707</v>
      </c>
      <c r="E43" s="24">
        <f t="shared" si="1"/>
        <v>1.224666224769299E-2</v>
      </c>
      <c r="F43" s="25">
        <f t="shared" si="2"/>
        <v>1039.7625666215783</v>
      </c>
      <c r="G43" s="26">
        <f t="shared" si="3"/>
        <v>51.988128331078919</v>
      </c>
      <c r="H43" s="26">
        <f t="shared" si="0"/>
        <v>1091.7506949526573</v>
      </c>
    </row>
    <row r="44" spans="1:12" customFormat="1" x14ac:dyDescent="0.25">
      <c r="A44" s="20" t="s">
        <v>100</v>
      </c>
      <c r="B44" s="21" t="s">
        <v>101</v>
      </c>
      <c r="C44" s="22">
        <v>42109766000159</v>
      </c>
      <c r="D44" s="23">
        <v>5117</v>
      </c>
      <c r="E44" s="24">
        <f t="shared" si="1"/>
        <v>1.6904820804274353E-2</v>
      </c>
      <c r="F44" s="25">
        <f t="shared" si="2"/>
        <v>1435.2481935264677</v>
      </c>
      <c r="G44" s="26">
        <f t="shared" si="3"/>
        <v>71.762409676323387</v>
      </c>
      <c r="H44" s="26">
        <f t="shared" si="0"/>
        <v>1507.0106032027911</v>
      </c>
    </row>
    <row r="45" spans="1:12" customFormat="1" x14ac:dyDescent="0.25">
      <c r="A45" s="20" t="s">
        <v>102</v>
      </c>
      <c r="B45" s="21" t="s">
        <v>99</v>
      </c>
      <c r="C45" s="22">
        <v>18788190000119</v>
      </c>
      <c r="D45" s="23">
        <v>14717</v>
      </c>
      <c r="E45" s="24">
        <f t="shared" si="1"/>
        <v>4.8619942891636833E-2</v>
      </c>
      <c r="F45" s="25">
        <f t="shared" si="2"/>
        <v>4127.9162916023115</v>
      </c>
      <c r="G45" s="26">
        <f t="shared" si="3"/>
        <v>206.3958145801156</v>
      </c>
      <c r="H45" s="26">
        <f t="shared" si="0"/>
        <v>4334.3121061824268</v>
      </c>
    </row>
    <row r="46" spans="1:12" customFormat="1" ht="13.5" customHeight="1" x14ac:dyDescent="0.25">
      <c r="A46" s="20" t="s">
        <v>103</v>
      </c>
      <c r="B46" s="21" t="s">
        <v>104</v>
      </c>
      <c r="C46" s="22">
        <v>32302613000170</v>
      </c>
      <c r="D46" s="23">
        <v>5439</v>
      </c>
      <c r="E46" s="24">
        <f t="shared" si="1"/>
        <v>1.7968598857621303E-2</v>
      </c>
      <c r="F46" s="25">
        <f t="shared" si="2"/>
        <v>1525.564769316095</v>
      </c>
      <c r="G46" s="26">
        <f t="shared" si="3"/>
        <v>76.278238465804748</v>
      </c>
      <c r="H46" s="26">
        <f t="shared" si="0"/>
        <v>1601.8430077818998</v>
      </c>
    </row>
    <row r="47" spans="1:12" customFormat="1" x14ac:dyDescent="0.25">
      <c r="A47" s="20" t="s">
        <v>105</v>
      </c>
      <c r="B47" s="21" t="s">
        <v>106</v>
      </c>
      <c r="C47" s="22">
        <v>28616552000148</v>
      </c>
      <c r="D47" s="23">
        <v>4123.71</v>
      </c>
      <c r="E47" s="24">
        <f t="shared" si="1"/>
        <v>1.3623329802383075E-2</v>
      </c>
      <c r="F47" s="25">
        <f t="shared" si="2"/>
        <v>1156.6439961162851</v>
      </c>
      <c r="G47" s="26">
        <f t="shared" si="3"/>
        <v>57.832199805814255</v>
      </c>
      <c r="H47" s="26">
        <f t="shared" si="0"/>
        <v>1214.4761959220994</v>
      </c>
    </row>
    <row r="48" spans="1:12" customFormat="1" x14ac:dyDescent="0.25">
      <c r="A48" s="20" t="s">
        <v>107</v>
      </c>
      <c r="B48" s="21" t="s">
        <v>108</v>
      </c>
      <c r="C48" s="22">
        <v>42579914000107</v>
      </c>
      <c r="D48" s="23">
        <v>4986.3599999999997</v>
      </c>
      <c r="E48" s="24">
        <f t="shared" si="1"/>
        <v>1.6473230851202163E-2</v>
      </c>
      <c r="F48" s="25">
        <f t="shared" si="2"/>
        <v>1398.605468491819</v>
      </c>
      <c r="G48" s="26">
        <f t="shared" si="3"/>
        <v>69.930273424590951</v>
      </c>
      <c r="H48" s="26">
        <f t="shared" si="0"/>
        <v>1468.53574191641</v>
      </c>
    </row>
    <row r="49" spans="1:8" customFormat="1" x14ac:dyDescent="0.25">
      <c r="A49" s="20" t="s">
        <v>109</v>
      </c>
      <c r="B49" s="21" t="s">
        <v>110</v>
      </c>
      <c r="C49" s="22" t="s">
        <v>111</v>
      </c>
      <c r="D49" s="23">
        <v>7462</v>
      </c>
      <c r="E49" s="24">
        <f t="shared" si="1"/>
        <v>2.4651900105822792E-2</v>
      </c>
      <c r="F49" s="25">
        <f t="shared" si="2"/>
        <v>2092.988473733536</v>
      </c>
      <c r="G49" s="26">
        <f t="shared" si="3"/>
        <v>104.64942368667681</v>
      </c>
      <c r="H49" s="26">
        <f t="shared" si="0"/>
        <v>2197.637897420213</v>
      </c>
    </row>
    <row r="50" spans="1:8" customFormat="1" x14ac:dyDescent="0.25">
      <c r="A50" s="20" t="s">
        <v>112</v>
      </c>
      <c r="B50" s="21" t="s">
        <v>113</v>
      </c>
      <c r="C50" s="22" t="s">
        <v>114</v>
      </c>
      <c r="D50" s="23">
        <v>5525</v>
      </c>
      <c r="E50" s="24">
        <f t="shared" si="1"/>
        <v>1.8252713492987259E-2</v>
      </c>
      <c r="F50" s="25">
        <f t="shared" si="2"/>
        <v>1549.6865876946911</v>
      </c>
      <c r="G50" s="26">
        <f t="shared" si="3"/>
        <v>77.484329384734565</v>
      </c>
      <c r="H50" s="26">
        <f t="shared" si="0"/>
        <v>1627.1709170794256</v>
      </c>
    </row>
    <row r="51" spans="1:8" customFormat="1" x14ac:dyDescent="0.25">
      <c r="A51" s="20" t="s">
        <v>115</v>
      </c>
      <c r="B51" s="21" t="s">
        <v>116</v>
      </c>
      <c r="C51" s="22">
        <v>26480299000112</v>
      </c>
      <c r="D51" s="23"/>
      <c r="E51" s="24">
        <f t="shared" si="1"/>
        <v>0</v>
      </c>
      <c r="F51" s="25">
        <f t="shared" si="2"/>
        <v>0</v>
      </c>
      <c r="G51" s="26">
        <f t="shared" si="3"/>
        <v>0</v>
      </c>
      <c r="H51" s="26">
        <f t="shared" si="0"/>
        <v>0</v>
      </c>
    </row>
    <row r="52" spans="1:8" customFormat="1" x14ac:dyDescent="0.25">
      <c r="A52" s="20" t="s">
        <v>117</v>
      </c>
      <c r="B52" s="21" t="s">
        <v>118</v>
      </c>
      <c r="C52" s="22" t="s">
        <v>119</v>
      </c>
      <c r="D52" s="23">
        <v>4943</v>
      </c>
      <c r="E52" s="24">
        <f t="shared" si="1"/>
        <v>1.6329984216440909E-2</v>
      </c>
      <c r="F52" s="25">
        <f t="shared" si="2"/>
        <v>1386.4435842488431</v>
      </c>
      <c r="G52" s="26">
        <f t="shared" si="3"/>
        <v>69.322179212442151</v>
      </c>
      <c r="H52" s="26">
        <f t="shared" si="0"/>
        <v>1455.7657634612851</v>
      </c>
    </row>
    <row r="53" spans="1:8" customFormat="1" x14ac:dyDescent="0.25">
      <c r="A53" s="20" t="s">
        <v>120</v>
      </c>
      <c r="B53" s="21" t="s">
        <v>121</v>
      </c>
      <c r="C53" s="22">
        <v>12997366000166</v>
      </c>
      <c r="D53" s="23">
        <v>5160</v>
      </c>
      <c r="E53" s="24">
        <f t="shared" si="1"/>
        <v>1.7046878121957331E-2</v>
      </c>
      <c r="F53" s="25">
        <f t="shared" si="2"/>
        <v>1447.3091027157659</v>
      </c>
      <c r="G53" s="26">
        <f t="shared" si="3"/>
        <v>72.365455135788295</v>
      </c>
      <c r="H53" s="26">
        <f t="shared" si="0"/>
        <v>1519.6745578515543</v>
      </c>
    </row>
    <row r="54" spans="1:8" customFormat="1" ht="16.5" customHeight="1" x14ac:dyDescent="0.25">
      <c r="A54" s="20" t="s">
        <v>122</v>
      </c>
      <c r="B54" s="21" t="s">
        <v>123</v>
      </c>
      <c r="C54" s="22" t="s">
        <v>124</v>
      </c>
      <c r="D54" s="23">
        <v>6586</v>
      </c>
      <c r="E54" s="24">
        <f t="shared" si="1"/>
        <v>2.1757895215350966E-2</v>
      </c>
      <c r="F54" s="25">
        <f t="shared" si="2"/>
        <v>1847.2825097841151</v>
      </c>
      <c r="G54" s="26">
        <f t="shared" si="3"/>
        <v>92.364125489205762</v>
      </c>
      <c r="H54" s="26">
        <f t="shared" si="0"/>
        <v>1939.6466352733207</v>
      </c>
    </row>
    <row r="55" spans="1:8" customFormat="1" x14ac:dyDescent="0.25">
      <c r="A55" s="20" t="s">
        <v>125</v>
      </c>
      <c r="B55" s="21" t="s">
        <v>126</v>
      </c>
      <c r="C55" s="22">
        <v>11884518000151</v>
      </c>
      <c r="D55" s="23">
        <v>5644</v>
      </c>
      <c r="E55" s="24">
        <f t="shared" si="1"/>
        <v>1.8645848860528523E-2</v>
      </c>
      <c r="F55" s="25">
        <f t="shared" si="2"/>
        <v>1583.0644526604231</v>
      </c>
      <c r="G55" s="26">
        <f t="shared" si="3"/>
        <v>79.153222633021159</v>
      </c>
      <c r="H55" s="26">
        <f t="shared" si="0"/>
        <v>1662.2176752934442</v>
      </c>
    </row>
    <row r="56" spans="1:8" customFormat="1" x14ac:dyDescent="0.25">
      <c r="A56" s="20" t="s">
        <v>127</v>
      </c>
      <c r="B56" s="21" t="s">
        <v>128</v>
      </c>
      <c r="C56" s="22">
        <v>36188051000136</v>
      </c>
      <c r="D56" s="23">
        <v>6936</v>
      </c>
      <c r="E56" s="24">
        <f t="shared" si="1"/>
        <v>2.2914175708119391E-2</v>
      </c>
      <c r="F56" s="25">
        <f t="shared" si="2"/>
        <v>1945.452700859797</v>
      </c>
      <c r="G56" s="26">
        <f t="shared" si="3"/>
        <v>97.272635042989862</v>
      </c>
      <c r="H56" s="26">
        <f t="shared" si="0"/>
        <v>2042.7253359027868</v>
      </c>
    </row>
    <row r="57" spans="1:8" customFormat="1" x14ac:dyDescent="0.25">
      <c r="A57" s="20" t="s">
        <v>129</v>
      </c>
      <c r="B57" s="21" t="s">
        <v>130</v>
      </c>
      <c r="C57" s="22" t="s">
        <v>131</v>
      </c>
      <c r="D57" s="23">
        <f>7425*40%</f>
        <v>2970</v>
      </c>
      <c r="E57" s="24">
        <f t="shared" si="1"/>
        <v>9.8118658957777674E-3</v>
      </c>
      <c r="F57" s="25">
        <f t="shared" si="2"/>
        <v>833.0441928422141</v>
      </c>
      <c r="G57" s="26">
        <f t="shared" si="3"/>
        <v>41.652209642110705</v>
      </c>
      <c r="H57" s="26">
        <f t="shared" si="0"/>
        <v>874.69640248432484</v>
      </c>
    </row>
    <row r="58" spans="1:8" customFormat="1" x14ac:dyDescent="0.25">
      <c r="A58" s="20" t="s">
        <v>132</v>
      </c>
      <c r="B58" s="21" t="s">
        <v>133</v>
      </c>
      <c r="C58" s="22">
        <v>18741082000190</v>
      </c>
      <c r="D58" s="23">
        <v>12183</v>
      </c>
      <c r="E58" s="24">
        <f t="shared" si="1"/>
        <v>4.0248472123993448E-2</v>
      </c>
      <c r="F58" s="25">
        <f t="shared" si="2"/>
        <v>3417.1641082143756</v>
      </c>
      <c r="G58" s="26">
        <f t="shared" si="3"/>
        <v>170.8582054107188</v>
      </c>
      <c r="H58" s="26">
        <f t="shared" si="0"/>
        <v>3588.0223136250943</v>
      </c>
    </row>
    <row r="59" spans="1:8" customFormat="1" x14ac:dyDescent="0.25">
      <c r="A59" s="20" t="s">
        <v>134</v>
      </c>
      <c r="B59" s="21" t="s">
        <v>135</v>
      </c>
      <c r="C59" s="22" t="s">
        <v>136</v>
      </c>
      <c r="D59" s="23">
        <v>4814</v>
      </c>
      <c r="E59" s="24">
        <f t="shared" si="1"/>
        <v>1.5903812263391975E-2</v>
      </c>
      <c r="F59" s="25">
        <f t="shared" si="2"/>
        <v>1350.260856680949</v>
      </c>
      <c r="G59" s="26">
        <f t="shared" si="3"/>
        <v>67.513042834047454</v>
      </c>
      <c r="H59" s="26">
        <f t="shared" si="0"/>
        <v>1417.7738995149964</v>
      </c>
    </row>
    <row r="60" spans="1:8" customFormat="1" x14ac:dyDescent="0.25">
      <c r="A60" s="20" t="s">
        <v>137</v>
      </c>
      <c r="B60" s="21" t="s">
        <v>138</v>
      </c>
      <c r="C60" s="22" t="s">
        <v>139</v>
      </c>
      <c r="D60" s="23">
        <v>3476.86</v>
      </c>
      <c r="E60" s="24">
        <f t="shared" si="1"/>
        <v>1.1486358268819491E-2</v>
      </c>
      <c r="F60" s="25">
        <f t="shared" si="2"/>
        <v>975.21145869541442</v>
      </c>
      <c r="G60" s="26">
        <f t="shared" si="3"/>
        <v>48.760572934770721</v>
      </c>
      <c r="H60" s="26">
        <f t="shared" si="0"/>
        <v>1023.9720316301851</v>
      </c>
    </row>
    <row r="61" spans="1:8" customFormat="1" x14ac:dyDescent="0.25">
      <c r="A61" s="20" t="s">
        <v>140</v>
      </c>
      <c r="B61" s="28" t="s">
        <v>141</v>
      </c>
      <c r="C61" s="22">
        <v>11884518000151</v>
      </c>
      <c r="D61" s="23">
        <f>81377.44-14717-3314-9239+11302+4126.33-4689</f>
        <v>64846.770000000004</v>
      </c>
      <c r="E61" s="24">
        <f t="shared" si="1"/>
        <v>0.21423158620011612</v>
      </c>
      <c r="F61" s="25">
        <f t="shared" si="2"/>
        <v>18188.628004402261</v>
      </c>
      <c r="G61" s="26">
        <f t="shared" si="3"/>
        <v>909.43140022011312</v>
      </c>
      <c r="H61" s="26">
        <f t="shared" si="0"/>
        <v>19098.059404622374</v>
      </c>
    </row>
    <row r="62" spans="1:8" customFormat="1" x14ac:dyDescent="0.25">
      <c r="A62" s="34"/>
      <c r="B62" s="35"/>
      <c r="C62" s="36" t="s">
        <v>142</v>
      </c>
      <c r="D62" s="37">
        <f>SUM(D20:D61)</f>
        <v>302694.71999999997</v>
      </c>
      <c r="E62" s="38">
        <f>SUM(E20:E61)</f>
        <v>1.0000000000000002</v>
      </c>
      <c r="F62" s="39">
        <f>SUM(F20:F61)</f>
        <v>84901.709999999992</v>
      </c>
      <c r="G62" s="39">
        <f>SUM(G20:G61)</f>
        <v>4245.085500000001</v>
      </c>
      <c r="H62" s="40">
        <f>SUM(H20:H61)</f>
        <v>89146.795500000007</v>
      </c>
    </row>
    <row r="63" spans="1:8" customFormat="1" x14ac:dyDescent="0.25">
      <c r="F63" s="41"/>
    </row>
    <row r="64" spans="1:8" customFormat="1" x14ac:dyDescent="0.25">
      <c r="F64" s="41"/>
    </row>
    <row r="65" spans="2:8" customFormat="1" x14ac:dyDescent="0.25">
      <c r="B65" s="115" t="s">
        <v>143</v>
      </c>
      <c r="C65" s="115"/>
      <c r="F65" s="41"/>
    </row>
    <row r="66" spans="2:8" customFormat="1" x14ac:dyDescent="0.25">
      <c r="B66" s="116" t="s">
        <v>144</v>
      </c>
      <c r="C66" s="117"/>
      <c r="E66" s="41"/>
      <c r="H66" s="42"/>
    </row>
    <row r="67" spans="2:8" customFormat="1" x14ac:dyDescent="0.25">
      <c r="E67" s="41"/>
      <c r="H67" s="43"/>
    </row>
    <row r="68" spans="2:8" customFormat="1" x14ac:dyDescent="0.25">
      <c r="D68" s="44"/>
      <c r="E68" s="41"/>
      <c r="H68" s="42"/>
    </row>
    <row r="69" spans="2:8" customFormat="1" x14ac:dyDescent="0.25">
      <c r="E69" s="41"/>
    </row>
    <row r="70" spans="2:8" customFormat="1" x14ac:dyDescent="0.25"/>
    <row r="71" spans="2:8" customFormat="1" x14ac:dyDescent="0.25"/>
    <row r="72" spans="2:8" customFormat="1" x14ac:dyDescent="0.25"/>
    <row r="73" spans="2:8" customFormat="1" x14ac:dyDescent="0.25"/>
    <row r="74" spans="2:8" customFormat="1" x14ac:dyDescent="0.25"/>
    <row r="75" spans="2:8" customFormat="1" x14ac:dyDescent="0.25"/>
    <row r="76" spans="2:8" customFormat="1" x14ac:dyDescent="0.25"/>
    <row r="77" spans="2:8" customFormat="1" x14ac:dyDescent="0.25"/>
    <row r="78" spans="2:8" customFormat="1" x14ac:dyDescent="0.25"/>
    <row r="79" spans="2:8" customFormat="1" x14ac:dyDescent="0.25"/>
    <row r="80" spans="2:8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spans="1:8" customFormat="1" x14ac:dyDescent="0.25"/>
    <row r="146" spans="1:8" customFormat="1" x14ac:dyDescent="0.25"/>
    <row r="147" spans="1:8" customFormat="1" x14ac:dyDescent="0.25"/>
    <row r="148" spans="1:8" customFormat="1" x14ac:dyDescent="0.25"/>
    <row r="149" spans="1:8" customFormat="1" x14ac:dyDescent="0.25">
      <c r="A149" s="45"/>
      <c r="B149" s="45"/>
      <c r="C149" s="45"/>
      <c r="D149" s="45"/>
      <c r="E149" s="45"/>
    </row>
    <row r="150" spans="1:8" x14ac:dyDescent="0.25">
      <c r="F150"/>
      <c r="G150"/>
      <c r="H150"/>
    </row>
    <row r="151" spans="1:8" x14ac:dyDescent="0.25">
      <c r="F151"/>
      <c r="G151"/>
      <c r="H151"/>
    </row>
    <row r="152" spans="1:8" x14ac:dyDescent="0.25">
      <c r="F152"/>
      <c r="G152"/>
      <c r="H152"/>
    </row>
    <row r="153" spans="1:8" x14ac:dyDescent="0.25">
      <c r="F153"/>
      <c r="G153"/>
      <c r="H153"/>
    </row>
    <row r="154" spans="1:8" x14ac:dyDescent="0.25">
      <c r="F154"/>
      <c r="G154"/>
      <c r="H154"/>
    </row>
    <row r="155" spans="1:8" x14ac:dyDescent="0.25">
      <c r="F155"/>
      <c r="G155"/>
      <c r="H155"/>
    </row>
    <row r="156" spans="1:8" x14ac:dyDescent="0.25">
      <c r="F156"/>
      <c r="G156"/>
      <c r="H156"/>
    </row>
    <row r="157" spans="1:8" x14ac:dyDescent="0.25">
      <c r="F157"/>
      <c r="G157"/>
      <c r="H157"/>
    </row>
    <row r="158" spans="1:8" x14ac:dyDescent="0.25">
      <c r="F158"/>
      <c r="G158"/>
      <c r="H158"/>
    </row>
    <row r="159" spans="1:8" x14ac:dyDescent="0.25">
      <c r="F159"/>
      <c r="G159"/>
      <c r="H159"/>
    </row>
    <row r="160" spans="1:8" x14ac:dyDescent="0.25">
      <c r="F160"/>
      <c r="G160"/>
      <c r="H160"/>
    </row>
    <row r="161" spans="6:8" x14ac:dyDescent="0.25">
      <c r="F161"/>
      <c r="G161"/>
      <c r="H161"/>
    </row>
    <row r="162" spans="6:8" x14ac:dyDescent="0.25">
      <c r="F162"/>
      <c r="G162"/>
      <c r="H162"/>
    </row>
    <row r="163" spans="6:8" x14ac:dyDescent="0.25">
      <c r="F163"/>
      <c r="G163"/>
      <c r="H163"/>
    </row>
    <row r="164" spans="6:8" x14ac:dyDescent="0.25">
      <c r="F164"/>
      <c r="G164"/>
      <c r="H164"/>
    </row>
    <row r="165" spans="6:8" x14ac:dyDescent="0.25">
      <c r="F165"/>
      <c r="G165"/>
      <c r="H165"/>
    </row>
    <row r="166" spans="6:8" x14ac:dyDescent="0.25">
      <c r="F166"/>
      <c r="G166"/>
      <c r="H166"/>
    </row>
    <row r="167" spans="6:8" x14ac:dyDescent="0.25">
      <c r="F167"/>
      <c r="G167"/>
      <c r="H167"/>
    </row>
    <row r="168" spans="6:8" x14ac:dyDescent="0.25">
      <c r="F168"/>
      <c r="G168"/>
      <c r="H168"/>
    </row>
    <row r="169" spans="6:8" x14ac:dyDescent="0.25">
      <c r="F169"/>
      <c r="G169"/>
      <c r="H169"/>
    </row>
    <row r="170" spans="6:8" x14ac:dyDescent="0.25">
      <c r="F170"/>
      <c r="G170"/>
      <c r="H170"/>
    </row>
    <row r="171" spans="6:8" x14ac:dyDescent="0.25">
      <c r="F171"/>
      <c r="G171"/>
      <c r="H171"/>
    </row>
    <row r="172" spans="6:8" x14ac:dyDescent="0.25">
      <c r="F172"/>
      <c r="G172"/>
      <c r="H172"/>
    </row>
    <row r="173" spans="6:8" x14ac:dyDescent="0.25">
      <c r="F173"/>
      <c r="G173"/>
      <c r="H173"/>
    </row>
    <row r="174" spans="6:8" x14ac:dyDescent="0.25">
      <c r="F174"/>
      <c r="G174"/>
      <c r="H174"/>
    </row>
    <row r="175" spans="6:8" x14ac:dyDescent="0.25">
      <c r="F175"/>
      <c r="G175"/>
      <c r="H175"/>
    </row>
    <row r="176" spans="6:8" x14ac:dyDescent="0.25">
      <c r="F176"/>
      <c r="G176"/>
      <c r="H176"/>
    </row>
    <row r="177" spans="6:8" x14ac:dyDescent="0.25">
      <c r="F177"/>
      <c r="G177"/>
      <c r="H177"/>
    </row>
    <row r="178" spans="6:8" x14ac:dyDescent="0.25">
      <c r="F178"/>
      <c r="G178"/>
      <c r="H178"/>
    </row>
    <row r="179" spans="6:8" x14ac:dyDescent="0.25">
      <c r="F179"/>
      <c r="G179"/>
      <c r="H179"/>
    </row>
    <row r="180" spans="6:8" x14ac:dyDescent="0.25">
      <c r="F180"/>
      <c r="G180"/>
      <c r="H180"/>
    </row>
    <row r="181" spans="6:8" x14ac:dyDescent="0.25">
      <c r="F181"/>
      <c r="G181"/>
      <c r="H181"/>
    </row>
    <row r="182" spans="6:8" x14ac:dyDescent="0.25">
      <c r="F182"/>
      <c r="G182"/>
      <c r="H182"/>
    </row>
    <row r="183" spans="6:8" x14ac:dyDescent="0.25">
      <c r="F183"/>
      <c r="G183"/>
      <c r="H183"/>
    </row>
    <row r="184" spans="6:8" x14ac:dyDescent="0.25">
      <c r="F184"/>
      <c r="G184"/>
      <c r="H184"/>
    </row>
    <row r="185" spans="6:8" x14ac:dyDescent="0.25">
      <c r="F185"/>
      <c r="G185"/>
      <c r="H185"/>
    </row>
    <row r="186" spans="6:8" x14ac:dyDescent="0.25">
      <c r="F186"/>
      <c r="G186"/>
      <c r="H186"/>
    </row>
    <row r="187" spans="6:8" x14ac:dyDescent="0.25">
      <c r="F187"/>
      <c r="G187"/>
      <c r="H187"/>
    </row>
    <row r="188" spans="6:8" x14ac:dyDescent="0.25">
      <c r="F188"/>
      <c r="G188"/>
      <c r="H188"/>
    </row>
    <row r="189" spans="6:8" x14ac:dyDescent="0.25">
      <c r="F189"/>
      <c r="G189"/>
      <c r="H189"/>
    </row>
    <row r="190" spans="6:8" x14ac:dyDescent="0.25">
      <c r="F190"/>
      <c r="G190"/>
      <c r="H190"/>
    </row>
    <row r="191" spans="6:8" x14ac:dyDescent="0.25">
      <c r="F191"/>
      <c r="G191"/>
      <c r="H191"/>
    </row>
    <row r="192" spans="6:8" x14ac:dyDescent="0.25">
      <c r="F192"/>
      <c r="G192"/>
      <c r="H192"/>
    </row>
    <row r="193" spans="6:8" x14ac:dyDescent="0.25">
      <c r="F193"/>
      <c r="G193"/>
      <c r="H193"/>
    </row>
    <row r="194" spans="6:8" x14ac:dyDescent="0.25">
      <c r="F194"/>
      <c r="G194"/>
      <c r="H194"/>
    </row>
    <row r="195" spans="6:8" x14ac:dyDescent="0.25">
      <c r="F195"/>
      <c r="G195"/>
      <c r="H195"/>
    </row>
    <row r="196" spans="6:8" x14ac:dyDescent="0.25">
      <c r="F196"/>
      <c r="G196"/>
      <c r="H196"/>
    </row>
    <row r="197" spans="6:8" x14ac:dyDescent="0.25">
      <c r="F197"/>
      <c r="G197"/>
      <c r="H197"/>
    </row>
    <row r="198" spans="6:8" x14ac:dyDescent="0.25">
      <c r="F198"/>
      <c r="G198"/>
      <c r="H198"/>
    </row>
    <row r="199" spans="6:8" x14ac:dyDescent="0.25">
      <c r="F199"/>
      <c r="G199"/>
      <c r="H199"/>
    </row>
    <row r="200" spans="6:8" x14ac:dyDescent="0.25">
      <c r="F200"/>
      <c r="G200"/>
      <c r="H200"/>
    </row>
    <row r="201" spans="6:8" x14ac:dyDescent="0.25">
      <c r="F201"/>
      <c r="G201"/>
      <c r="H201"/>
    </row>
    <row r="202" spans="6:8" x14ac:dyDescent="0.25">
      <c r="F202"/>
      <c r="G202"/>
      <c r="H202"/>
    </row>
    <row r="203" spans="6:8" x14ac:dyDescent="0.25">
      <c r="F203"/>
      <c r="G203"/>
      <c r="H203"/>
    </row>
    <row r="204" spans="6:8" x14ac:dyDescent="0.25">
      <c r="F204"/>
      <c r="G204"/>
      <c r="H204"/>
    </row>
    <row r="205" spans="6:8" x14ac:dyDescent="0.25">
      <c r="F205"/>
      <c r="G205"/>
      <c r="H205"/>
    </row>
    <row r="206" spans="6:8" x14ac:dyDescent="0.25">
      <c r="F206"/>
      <c r="G206"/>
      <c r="H206"/>
    </row>
    <row r="207" spans="6:8" x14ac:dyDescent="0.25">
      <c r="F207"/>
      <c r="G207"/>
      <c r="H207"/>
    </row>
    <row r="208" spans="6:8" x14ac:dyDescent="0.25">
      <c r="F208"/>
      <c r="G208"/>
      <c r="H208"/>
    </row>
    <row r="209" spans="6:8" x14ac:dyDescent="0.25">
      <c r="F209"/>
      <c r="G209"/>
      <c r="H209"/>
    </row>
    <row r="210" spans="6:8" x14ac:dyDescent="0.25">
      <c r="F210"/>
      <c r="G210"/>
      <c r="H210"/>
    </row>
    <row r="211" spans="6:8" x14ac:dyDescent="0.25">
      <c r="F211"/>
      <c r="G211"/>
      <c r="H211"/>
    </row>
    <row r="212" spans="6:8" x14ac:dyDescent="0.25">
      <c r="F212"/>
      <c r="G212"/>
      <c r="H212"/>
    </row>
    <row r="213" spans="6:8" x14ac:dyDescent="0.25">
      <c r="F213"/>
      <c r="G213"/>
      <c r="H213"/>
    </row>
    <row r="214" spans="6:8" x14ac:dyDescent="0.25">
      <c r="F214"/>
      <c r="G214"/>
      <c r="H214"/>
    </row>
    <row r="215" spans="6:8" x14ac:dyDescent="0.25">
      <c r="F215"/>
      <c r="G215"/>
      <c r="H215"/>
    </row>
    <row r="216" spans="6:8" x14ac:dyDescent="0.25">
      <c r="F216"/>
      <c r="G216"/>
      <c r="H216"/>
    </row>
    <row r="217" spans="6:8" x14ac:dyDescent="0.25">
      <c r="F217"/>
      <c r="G217"/>
      <c r="H217"/>
    </row>
    <row r="218" spans="6:8" x14ac:dyDescent="0.25">
      <c r="F218"/>
      <c r="G218"/>
      <c r="H218"/>
    </row>
    <row r="219" spans="6:8" x14ac:dyDescent="0.25">
      <c r="F219"/>
      <c r="G219"/>
      <c r="H219"/>
    </row>
    <row r="220" spans="6:8" x14ac:dyDescent="0.25">
      <c r="F220"/>
      <c r="G220"/>
      <c r="H220"/>
    </row>
    <row r="221" spans="6:8" x14ac:dyDescent="0.25">
      <c r="F221"/>
      <c r="G221"/>
      <c r="H221"/>
    </row>
    <row r="222" spans="6:8" x14ac:dyDescent="0.25">
      <c r="F222"/>
      <c r="G222"/>
      <c r="H222"/>
    </row>
    <row r="223" spans="6:8" x14ac:dyDescent="0.25">
      <c r="F223"/>
      <c r="G223"/>
      <c r="H223"/>
    </row>
    <row r="224" spans="6:8" x14ac:dyDescent="0.25">
      <c r="F224"/>
      <c r="G224"/>
      <c r="H224"/>
    </row>
    <row r="225" spans="6:8" x14ac:dyDescent="0.25">
      <c r="F225"/>
      <c r="G225"/>
      <c r="H225"/>
    </row>
    <row r="226" spans="6:8" x14ac:dyDescent="0.25">
      <c r="F226"/>
      <c r="G226"/>
      <c r="H226"/>
    </row>
    <row r="227" spans="6:8" x14ac:dyDescent="0.25">
      <c r="F227"/>
      <c r="G227"/>
      <c r="H227"/>
    </row>
    <row r="228" spans="6:8" x14ac:dyDescent="0.25">
      <c r="F228"/>
      <c r="G228"/>
      <c r="H228"/>
    </row>
    <row r="229" spans="6:8" x14ac:dyDescent="0.25">
      <c r="F229"/>
      <c r="G229"/>
      <c r="H229"/>
    </row>
    <row r="230" spans="6:8" x14ac:dyDescent="0.25">
      <c r="F230"/>
      <c r="G230"/>
      <c r="H230"/>
    </row>
    <row r="231" spans="6:8" x14ac:dyDescent="0.25">
      <c r="G231"/>
      <c r="H231"/>
    </row>
  </sheetData>
  <mergeCells count="3">
    <mergeCell ref="B1:G1"/>
    <mergeCell ref="B65:C65"/>
    <mergeCell ref="B66:C66"/>
  </mergeCells>
  <pageMargins left="0.511811024" right="0.511811024" top="0.78740157499999996" bottom="0.78740157499999996" header="0.31496062000000002" footer="0.31496062000000002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29"/>
  <sheetViews>
    <sheetView topLeftCell="A15" zoomScale="110" zoomScaleNormal="110" workbookViewId="0">
      <selection activeCell="F4" sqref="F4"/>
    </sheetView>
  </sheetViews>
  <sheetFormatPr defaultColWidth="9.140625" defaultRowHeight="15" x14ac:dyDescent="0.25"/>
  <cols>
    <col min="1" max="1" width="29.5703125" style="45" customWidth="1"/>
    <col min="2" max="2" width="45.28515625" style="45" customWidth="1"/>
    <col min="3" max="3" width="29.7109375" style="45" customWidth="1"/>
    <col min="4" max="4" width="21.42578125" style="45" customWidth="1"/>
    <col min="5" max="5" width="17.42578125" style="45" customWidth="1"/>
    <col min="6" max="6" width="16.42578125" style="45" customWidth="1"/>
    <col min="7" max="7" width="17.140625" style="45" customWidth="1"/>
    <col min="8" max="8" width="16.85546875" style="45" bestFit="1" customWidth="1"/>
    <col min="9" max="9" width="11.85546875" style="45" bestFit="1" customWidth="1"/>
    <col min="10" max="16384" width="9.140625" style="45"/>
  </cols>
  <sheetData>
    <row r="1" spans="1:8" customFormat="1" ht="21.75" customHeight="1" x14ac:dyDescent="0.25">
      <c r="A1" s="46"/>
      <c r="B1" s="112" t="s">
        <v>0</v>
      </c>
      <c r="C1" s="113"/>
      <c r="D1" s="113"/>
      <c r="E1" s="113"/>
      <c r="F1" s="113"/>
      <c r="G1" s="114"/>
      <c r="H1" s="47"/>
    </row>
    <row r="2" spans="1:8" customFormat="1" ht="30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3"/>
      <c r="F2" s="4" t="s">
        <v>5</v>
      </c>
      <c r="G2" s="5"/>
      <c r="H2" s="6"/>
    </row>
    <row r="3" spans="1:8" customFormat="1" ht="30.6" customHeight="1" x14ac:dyDescent="0.25">
      <c r="A3" s="7">
        <v>1</v>
      </c>
      <c r="B3" s="8" t="s">
        <v>6</v>
      </c>
      <c r="C3" s="8"/>
      <c r="D3" s="9">
        <v>45689</v>
      </c>
      <c r="E3" s="9"/>
      <c r="F3" s="10">
        <f>532.69+550+5000</f>
        <v>6082.6900000000005</v>
      </c>
      <c r="G3" s="5"/>
      <c r="H3" s="6"/>
    </row>
    <row r="4" spans="1:8" customFormat="1" ht="30.6" customHeight="1" x14ac:dyDescent="0.25">
      <c r="A4" s="7">
        <v>2</v>
      </c>
      <c r="B4" s="8" t="s">
        <v>8</v>
      </c>
      <c r="C4" s="8" t="s">
        <v>9</v>
      </c>
      <c r="D4" s="9">
        <v>45689</v>
      </c>
      <c r="E4" s="9"/>
      <c r="F4" s="10">
        <v>39590</v>
      </c>
      <c r="G4" s="5"/>
      <c r="H4" s="11"/>
    </row>
    <row r="5" spans="1:8" customFormat="1" ht="30.6" customHeight="1" x14ac:dyDescent="0.25">
      <c r="A5" s="7">
        <v>3</v>
      </c>
      <c r="B5" s="8" t="s">
        <v>10</v>
      </c>
      <c r="C5" s="12" t="s">
        <v>11</v>
      </c>
      <c r="D5" s="9">
        <v>45689</v>
      </c>
      <c r="E5" s="9"/>
      <c r="F5" s="10">
        <f>38676.1+7.01</f>
        <v>38683.11</v>
      </c>
      <c r="G5" s="5"/>
      <c r="H5" s="11"/>
    </row>
    <row r="6" spans="1:8" customFormat="1" ht="30.6" customHeight="1" x14ac:dyDescent="0.25">
      <c r="A6" s="7">
        <v>4</v>
      </c>
      <c r="B6" s="8" t="s">
        <v>189</v>
      </c>
      <c r="C6" s="12" t="s">
        <v>190</v>
      </c>
      <c r="D6" s="9">
        <v>45689</v>
      </c>
      <c r="E6" s="9"/>
      <c r="F6" s="10">
        <v>37000</v>
      </c>
      <c r="G6" s="5"/>
      <c r="H6" s="11"/>
    </row>
    <row r="7" spans="1:8" customFormat="1" ht="30.6" customHeight="1" x14ac:dyDescent="0.25">
      <c r="A7" s="7">
        <v>5</v>
      </c>
      <c r="B7" s="8" t="s">
        <v>12</v>
      </c>
      <c r="C7" s="8"/>
      <c r="D7" s="9">
        <v>45689</v>
      </c>
      <c r="E7" s="9"/>
      <c r="F7" s="10">
        <v>373.75</v>
      </c>
      <c r="G7" s="5"/>
      <c r="H7" s="6"/>
    </row>
    <row r="8" spans="1:8" customFormat="1" ht="30.6" customHeight="1" x14ac:dyDescent="0.25">
      <c r="A8" s="7">
        <v>6</v>
      </c>
      <c r="B8" s="8" t="s">
        <v>13</v>
      </c>
      <c r="C8" s="8" t="s">
        <v>14</v>
      </c>
      <c r="D8" s="9">
        <v>45689</v>
      </c>
      <c r="E8" s="9"/>
      <c r="F8" s="13">
        <v>1518</v>
      </c>
      <c r="G8" s="5"/>
      <c r="H8" s="6"/>
    </row>
    <row r="9" spans="1:8" customFormat="1" ht="30.6" customHeight="1" x14ac:dyDescent="0.25">
      <c r="A9" s="7">
        <v>7</v>
      </c>
      <c r="B9" s="8" t="s">
        <v>15</v>
      </c>
      <c r="C9" s="8" t="s">
        <v>16</v>
      </c>
      <c r="D9" s="9">
        <v>45689</v>
      </c>
      <c r="E9" s="9"/>
      <c r="F9" s="13">
        <v>2500</v>
      </c>
      <c r="G9" s="5"/>
      <c r="H9" s="6"/>
    </row>
    <row r="10" spans="1:8" customFormat="1" ht="34.5" customHeight="1" x14ac:dyDescent="0.25">
      <c r="A10" s="7">
        <v>8</v>
      </c>
      <c r="B10" s="14" t="s">
        <v>17</v>
      </c>
      <c r="C10" s="12" t="s">
        <v>18</v>
      </c>
      <c r="D10" s="9">
        <v>45689</v>
      </c>
      <c r="E10" s="9"/>
      <c r="F10" s="13">
        <v>880</v>
      </c>
      <c r="G10" s="5"/>
      <c r="H10" s="6"/>
    </row>
    <row r="11" spans="1:8" customFormat="1" ht="30.6" customHeight="1" x14ac:dyDescent="0.25">
      <c r="A11" s="7">
        <v>9</v>
      </c>
      <c r="B11" s="14" t="s">
        <v>19</v>
      </c>
      <c r="C11" s="14" t="s">
        <v>20</v>
      </c>
      <c r="D11" s="9">
        <v>45689</v>
      </c>
      <c r="E11" s="9"/>
      <c r="F11" s="13">
        <v>60.83</v>
      </c>
      <c r="G11" s="5"/>
      <c r="H11" s="6"/>
    </row>
    <row r="12" spans="1:8" customFormat="1" ht="30.6" customHeight="1" x14ac:dyDescent="0.25">
      <c r="A12" s="7">
        <v>10</v>
      </c>
      <c r="B12" s="14" t="s">
        <v>21</v>
      </c>
      <c r="C12" s="12" t="s">
        <v>22</v>
      </c>
      <c r="D12" s="9">
        <v>45689</v>
      </c>
      <c r="E12" s="9"/>
      <c r="F12" s="13">
        <v>385</v>
      </c>
      <c r="G12" s="5"/>
      <c r="H12" s="15"/>
    </row>
    <row r="13" spans="1:8" customFormat="1" ht="30.6" customHeight="1" x14ac:dyDescent="0.25">
      <c r="A13" s="7">
        <v>11</v>
      </c>
      <c r="B13" s="14" t="s">
        <v>23</v>
      </c>
      <c r="C13" s="8"/>
      <c r="D13" s="9">
        <v>45689</v>
      </c>
      <c r="E13" s="9"/>
      <c r="F13" s="13">
        <v>70</v>
      </c>
      <c r="G13" s="5"/>
      <c r="H13" s="6"/>
    </row>
    <row r="14" spans="1:8" customFormat="1" ht="31.5" customHeight="1" x14ac:dyDescent="0.25">
      <c r="A14" s="7">
        <v>12</v>
      </c>
      <c r="B14" s="14" t="s">
        <v>24</v>
      </c>
      <c r="C14" s="12" t="s">
        <v>25</v>
      </c>
      <c r="D14" s="9">
        <v>45689</v>
      </c>
      <c r="E14" s="9"/>
      <c r="F14" s="13">
        <v>359</v>
      </c>
      <c r="G14" s="5"/>
      <c r="H14" s="6"/>
    </row>
    <row r="15" spans="1:8" customFormat="1" ht="34.5" customHeight="1" x14ac:dyDescent="0.25">
      <c r="A15" s="7">
        <v>13</v>
      </c>
      <c r="B15" s="14" t="s">
        <v>26</v>
      </c>
      <c r="C15" s="12" t="s">
        <v>151</v>
      </c>
      <c r="D15" s="9">
        <v>45689</v>
      </c>
      <c r="E15" s="9"/>
      <c r="F15" s="13">
        <v>33.799999999999997</v>
      </c>
      <c r="G15" s="5"/>
      <c r="H15" s="6"/>
    </row>
    <row r="16" spans="1:8" customFormat="1" ht="34.5" customHeight="1" x14ac:dyDescent="0.25">
      <c r="A16" s="7">
        <v>14</v>
      </c>
      <c r="B16" s="14" t="s">
        <v>29</v>
      </c>
      <c r="C16" s="12" t="s">
        <v>30</v>
      </c>
      <c r="D16" s="9">
        <v>45689</v>
      </c>
      <c r="E16" s="9"/>
      <c r="F16" s="13">
        <v>369.39</v>
      </c>
      <c r="G16" s="5"/>
      <c r="H16" s="6"/>
    </row>
    <row r="17" spans="1:12" customFormat="1" ht="42" customHeight="1" x14ac:dyDescent="0.25">
      <c r="A17" s="48"/>
      <c r="B17" s="49" t="s">
        <v>31</v>
      </c>
      <c r="C17" s="50"/>
      <c r="D17" s="51"/>
      <c r="E17" s="52"/>
      <c r="F17" s="53">
        <f>SUM(F3:F16)</f>
        <v>127905.57</v>
      </c>
      <c r="G17" s="54"/>
      <c r="H17" s="55"/>
    </row>
    <row r="18" spans="1:12" customFormat="1" ht="22.5" customHeight="1" x14ac:dyDescent="0.25">
      <c r="A18" s="16" t="s">
        <v>32</v>
      </c>
      <c r="B18" s="17" t="s">
        <v>33</v>
      </c>
      <c r="C18" s="18" t="s">
        <v>34</v>
      </c>
      <c r="D18" s="16" t="s">
        <v>35</v>
      </c>
      <c r="E18" s="16" t="s">
        <v>36</v>
      </c>
      <c r="F18" s="16" t="s">
        <v>37</v>
      </c>
      <c r="G18" s="19" t="s">
        <v>38</v>
      </c>
      <c r="H18" s="18" t="s">
        <v>39</v>
      </c>
    </row>
    <row r="19" spans="1:12" s="27" customFormat="1" ht="14.25" customHeight="1" x14ac:dyDescent="0.25">
      <c r="A19" s="20" t="s">
        <v>40</v>
      </c>
      <c r="B19" s="21" t="s">
        <v>41</v>
      </c>
      <c r="C19" s="22" t="s">
        <v>42</v>
      </c>
      <c r="D19" s="23">
        <v>4016</v>
      </c>
      <c r="E19" s="24">
        <f>D19/$D$60</f>
        <v>1.3299610959886176E-2</v>
      </c>
      <c r="F19" s="25">
        <f>$F$17*E19</f>
        <v>1701.0943206024886</v>
      </c>
      <c r="G19" s="26">
        <f>F19*5%</f>
        <v>85.054716030124439</v>
      </c>
      <c r="H19" s="26">
        <f t="shared" ref="H19:H59" si="0">F19+G19</f>
        <v>1786.1490366326129</v>
      </c>
    </row>
    <row r="20" spans="1:12" customFormat="1" x14ac:dyDescent="0.25">
      <c r="A20" s="20" t="s">
        <v>43</v>
      </c>
      <c r="B20" s="28" t="s">
        <v>44</v>
      </c>
      <c r="C20" s="22">
        <v>18778225000139</v>
      </c>
      <c r="D20" s="23">
        <v>8711.2199999999993</v>
      </c>
      <c r="E20" s="24">
        <f t="shared" ref="E20:E59" si="1">D20/$D$60</f>
        <v>2.8848564986548714E-2</v>
      </c>
      <c r="F20" s="25">
        <f t="shared" ref="F20:F59" si="2">$F$17*E20</f>
        <v>3689.8921482865558</v>
      </c>
      <c r="G20" s="26">
        <f t="shared" ref="G20:G59" si="3">F20*5%</f>
        <v>184.49460741432779</v>
      </c>
      <c r="H20" s="26">
        <f t="shared" si="0"/>
        <v>3874.3867557008834</v>
      </c>
    </row>
    <row r="21" spans="1:12" customFormat="1" x14ac:dyDescent="0.25">
      <c r="A21" s="20" t="s">
        <v>45</v>
      </c>
      <c r="B21" s="28" t="s">
        <v>46</v>
      </c>
      <c r="C21" s="22">
        <v>41993875000119</v>
      </c>
      <c r="D21" s="23">
        <v>3641.8</v>
      </c>
      <c r="E21" s="24">
        <f t="shared" si="1"/>
        <v>1.206038924146252E-2</v>
      </c>
      <c r="F21" s="25">
        <f t="shared" si="2"/>
        <v>1542.5909603511313</v>
      </c>
      <c r="G21" s="26">
        <f t="shared" si="3"/>
        <v>77.129548017556573</v>
      </c>
      <c r="H21" s="26">
        <f t="shared" si="0"/>
        <v>1619.7205083686879</v>
      </c>
    </row>
    <row r="22" spans="1:12" customFormat="1" x14ac:dyDescent="0.25">
      <c r="A22" s="20" t="s">
        <v>47</v>
      </c>
      <c r="B22" s="21" t="s">
        <v>48</v>
      </c>
      <c r="C22" s="22">
        <v>24781302000102</v>
      </c>
      <c r="D22" s="23">
        <v>3430</v>
      </c>
      <c r="E22" s="24">
        <f t="shared" si="1"/>
        <v>1.1358980476197605E-2</v>
      </c>
      <c r="F22" s="25">
        <f t="shared" si="2"/>
        <v>1452.8768724269262</v>
      </c>
      <c r="G22" s="26">
        <f t="shared" si="3"/>
        <v>72.643843621346306</v>
      </c>
      <c r="H22" s="26">
        <f t="shared" si="0"/>
        <v>1525.5207160482726</v>
      </c>
    </row>
    <row r="23" spans="1:12" customFormat="1" x14ac:dyDescent="0.25">
      <c r="A23" s="20" t="s">
        <v>49</v>
      </c>
      <c r="B23" s="21" t="s">
        <v>50</v>
      </c>
      <c r="C23" s="22">
        <v>38649716000197</v>
      </c>
      <c r="D23" s="23">
        <v>3440</v>
      </c>
      <c r="E23" s="24">
        <f t="shared" si="1"/>
        <v>1.1392097037352699E-2</v>
      </c>
      <c r="F23" s="25">
        <f t="shared" si="2"/>
        <v>1457.1126650579083</v>
      </c>
      <c r="G23" s="26">
        <f t="shared" si="3"/>
        <v>72.855633252895416</v>
      </c>
      <c r="H23" s="26">
        <f t="shared" si="0"/>
        <v>1529.9682983108037</v>
      </c>
    </row>
    <row r="24" spans="1:12" customFormat="1" x14ac:dyDescent="0.25">
      <c r="A24" s="20" t="s">
        <v>51</v>
      </c>
      <c r="B24" s="21" t="s">
        <v>52</v>
      </c>
      <c r="C24" s="22" t="s">
        <v>53</v>
      </c>
      <c r="D24" s="23">
        <v>4056</v>
      </c>
      <c r="E24" s="24">
        <f t="shared" si="1"/>
        <v>1.3432077204506556E-2</v>
      </c>
      <c r="F24" s="25">
        <f t="shared" si="2"/>
        <v>1718.0374911264178</v>
      </c>
      <c r="G24" s="26">
        <f t="shared" si="3"/>
        <v>85.901874556320891</v>
      </c>
      <c r="H24" s="26">
        <f t="shared" si="0"/>
        <v>1803.9393656827388</v>
      </c>
    </row>
    <row r="25" spans="1:12" customFormat="1" x14ac:dyDescent="0.25">
      <c r="A25" s="20" t="s">
        <v>54</v>
      </c>
      <c r="B25" s="21" t="s">
        <v>55</v>
      </c>
      <c r="C25" s="22" t="s">
        <v>56</v>
      </c>
      <c r="D25" s="23">
        <v>11580</v>
      </c>
      <c r="E25" s="24">
        <f t="shared" si="1"/>
        <v>3.8348977817600077E-2</v>
      </c>
      <c r="F25" s="25">
        <f t="shared" si="2"/>
        <v>4905.0478666774943</v>
      </c>
      <c r="G25" s="26">
        <f t="shared" si="3"/>
        <v>245.25239333387472</v>
      </c>
      <c r="H25" s="26">
        <f t="shared" si="0"/>
        <v>5150.3002600113687</v>
      </c>
    </row>
    <row r="26" spans="1:12" customFormat="1" x14ac:dyDescent="0.25">
      <c r="A26" s="20" t="s">
        <v>57</v>
      </c>
      <c r="B26" s="21" t="s">
        <v>58</v>
      </c>
      <c r="C26" s="22" t="s">
        <v>59</v>
      </c>
      <c r="D26" s="23">
        <f>360+360+1510</f>
        <v>2230</v>
      </c>
      <c r="E26" s="24">
        <f t="shared" si="1"/>
        <v>7.3849931375861979E-3</v>
      </c>
      <c r="F26" s="25">
        <f t="shared" si="2"/>
        <v>944.58175670905109</v>
      </c>
      <c r="G26" s="26">
        <f t="shared" si="3"/>
        <v>47.22908783545256</v>
      </c>
      <c r="H26" s="26">
        <f t="shared" si="0"/>
        <v>991.81084454450365</v>
      </c>
    </row>
    <row r="27" spans="1:12" s="33" customFormat="1" ht="15.75" customHeight="1" x14ac:dyDescent="0.25">
      <c r="A27" s="20" t="s">
        <v>60</v>
      </c>
      <c r="B27" s="29" t="s">
        <v>61</v>
      </c>
      <c r="C27" s="30" t="s">
        <v>62</v>
      </c>
      <c r="D27" s="23">
        <f>5224+3930</f>
        <v>9154</v>
      </c>
      <c r="E27" s="24">
        <f t="shared" si="1"/>
        <v>3.0314900081374017E-2</v>
      </c>
      <c r="F27" s="25">
        <f t="shared" si="2"/>
        <v>3877.4445744011905</v>
      </c>
      <c r="G27" s="26">
        <f t="shared" si="3"/>
        <v>193.87222872005952</v>
      </c>
      <c r="H27" s="31">
        <f t="shared" si="0"/>
        <v>4071.3168031212499</v>
      </c>
      <c r="I27" s="32" t="s">
        <v>63</v>
      </c>
      <c r="L27" s="33" t="s">
        <v>64</v>
      </c>
    </row>
    <row r="28" spans="1:12" customFormat="1" ht="15.75" customHeight="1" x14ac:dyDescent="0.25">
      <c r="A28" s="20" t="s">
        <v>65</v>
      </c>
      <c r="B28" s="28" t="s">
        <v>66</v>
      </c>
      <c r="C28" s="22" t="s">
        <v>67</v>
      </c>
      <c r="D28" s="23">
        <v>2610</v>
      </c>
      <c r="E28" s="24">
        <f t="shared" si="1"/>
        <v>8.6434224614798105E-3</v>
      </c>
      <c r="F28" s="25">
        <f t="shared" si="2"/>
        <v>1105.5418766863784</v>
      </c>
      <c r="G28" s="26">
        <f t="shared" si="3"/>
        <v>55.277093834318919</v>
      </c>
      <c r="H28" s="26">
        <f t="shared" si="0"/>
        <v>1160.8189705206973</v>
      </c>
    </row>
    <row r="29" spans="1:12" customFormat="1" ht="15.75" customHeight="1" x14ac:dyDescent="0.25">
      <c r="A29" s="20" t="s">
        <v>68</v>
      </c>
      <c r="B29" s="28" t="s">
        <v>69</v>
      </c>
      <c r="C29" s="22" t="s">
        <v>70</v>
      </c>
      <c r="D29" s="23">
        <v>5515</v>
      </c>
      <c r="E29" s="24">
        <f t="shared" si="1"/>
        <v>1.8263783477034924E-2</v>
      </c>
      <c r="F29" s="25">
        <f t="shared" si="2"/>
        <v>2336.0396359867341</v>
      </c>
      <c r="G29" s="26">
        <f t="shared" si="3"/>
        <v>116.80198179933672</v>
      </c>
      <c r="H29" s="26">
        <f t="shared" si="0"/>
        <v>2452.8416177860709</v>
      </c>
    </row>
    <row r="30" spans="1:12" customFormat="1" ht="15.75" customHeight="1" x14ac:dyDescent="0.25">
      <c r="A30" s="20" t="s">
        <v>71</v>
      </c>
      <c r="B30" s="21" t="s">
        <v>72</v>
      </c>
      <c r="C30" s="22">
        <v>17202383000183</v>
      </c>
      <c r="D30" s="23">
        <v>15332</v>
      </c>
      <c r="E30" s="24">
        <f t="shared" si="1"/>
        <v>5.0774311562991746E-2</v>
      </c>
      <c r="F30" s="25">
        <f t="shared" si="2"/>
        <v>6494.3172618220506</v>
      </c>
      <c r="G30" s="26">
        <f t="shared" si="3"/>
        <v>324.71586309110256</v>
      </c>
      <c r="H30" s="26">
        <f t="shared" si="0"/>
        <v>6819.0331249131532</v>
      </c>
    </row>
    <row r="31" spans="1:12" customFormat="1" ht="15.75" customHeight="1" x14ac:dyDescent="0.25">
      <c r="A31" s="20" t="s">
        <v>73</v>
      </c>
      <c r="B31" s="21" t="s">
        <v>74</v>
      </c>
      <c r="C31" s="22">
        <v>18183488000103</v>
      </c>
      <c r="D31" s="23">
        <v>7238</v>
      </c>
      <c r="E31" s="24">
        <f t="shared" si="1"/>
        <v>2.3969766964057802E-2</v>
      </c>
      <c r="F31" s="25">
        <f t="shared" si="2"/>
        <v>3065.8667063049829</v>
      </c>
      <c r="G31" s="26">
        <f t="shared" si="3"/>
        <v>153.29333531524915</v>
      </c>
      <c r="H31" s="26">
        <f t="shared" si="0"/>
        <v>3219.1600416202323</v>
      </c>
    </row>
    <row r="32" spans="1:12" customFormat="1" x14ac:dyDescent="0.25">
      <c r="A32" s="20" t="s">
        <v>75</v>
      </c>
      <c r="B32" s="21" t="s">
        <v>76</v>
      </c>
      <c r="C32" s="22">
        <v>18244070000150</v>
      </c>
      <c r="D32" s="23">
        <v>5941</v>
      </c>
      <c r="E32" s="24">
        <f t="shared" si="1"/>
        <v>1.9674548982241975E-2</v>
      </c>
      <c r="F32" s="25">
        <f t="shared" si="2"/>
        <v>2516.4844020665801</v>
      </c>
      <c r="G32" s="26">
        <f t="shared" si="3"/>
        <v>125.82422010332901</v>
      </c>
      <c r="H32" s="26">
        <f t="shared" si="0"/>
        <v>2642.3086221699091</v>
      </c>
    </row>
    <row r="33" spans="1:12" customFormat="1" x14ac:dyDescent="0.25">
      <c r="A33" s="20" t="s">
        <v>77</v>
      </c>
      <c r="B33" s="21" t="s">
        <v>78</v>
      </c>
      <c r="C33" s="22">
        <v>18244039000110</v>
      </c>
      <c r="D33" s="23">
        <v>4460</v>
      </c>
      <c r="E33" s="24">
        <f t="shared" si="1"/>
        <v>1.4769986275172396E-2</v>
      </c>
      <c r="F33" s="25">
        <f t="shared" si="2"/>
        <v>1889.1635134181022</v>
      </c>
      <c r="G33" s="26">
        <f t="shared" si="3"/>
        <v>94.458175670905121</v>
      </c>
      <c r="H33" s="26">
        <f t="shared" si="0"/>
        <v>1983.6216890890073</v>
      </c>
    </row>
    <row r="34" spans="1:12" customFormat="1" x14ac:dyDescent="0.25">
      <c r="A34" s="20" t="s">
        <v>79</v>
      </c>
      <c r="B34" s="21" t="s">
        <v>80</v>
      </c>
      <c r="C34" s="22">
        <v>15500591000133</v>
      </c>
      <c r="D34" s="23">
        <v>4415</v>
      </c>
      <c r="E34" s="24">
        <f t="shared" si="1"/>
        <v>1.4620961749974468E-2</v>
      </c>
      <c r="F34" s="25">
        <f t="shared" si="2"/>
        <v>1870.102446578682</v>
      </c>
      <c r="G34" s="26">
        <f t="shared" si="3"/>
        <v>93.505122328934107</v>
      </c>
      <c r="H34" s="26">
        <f t="shared" si="0"/>
        <v>1963.607568907616</v>
      </c>
    </row>
    <row r="35" spans="1:12" customFormat="1" x14ac:dyDescent="0.25">
      <c r="A35" s="20" t="s">
        <v>81</v>
      </c>
      <c r="B35" s="21" t="s">
        <v>82</v>
      </c>
      <c r="C35" s="22" t="s">
        <v>83</v>
      </c>
      <c r="D35" s="23">
        <v>8673</v>
      </c>
      <c r="E35" s="24">
        <f t="shared" si="1"/>
        <v>2.8721993489813944E-2</v>
      </c>
      <c r="F35" s="25">
        <f t="shared" si="2"/>
        <v>3673.702948850942</v>
      </c>
      <c r="G35" s="26">
        <f t="shared" si="3"/>
        <v>183.68514744254711</v>
      </c>
      <c r="H35" s="26">
        <f t="shared" si="0"/>
        <v>3857.3880962934891</v>
      </c>
    </row>
    <row r="36" spans="1:12" customFormat="1" x14ac:dyDescent="0.25">
      <c r="A36" s="20" t="s">
        <v>84</v>
      </c>
      <c r="B36" s="21" t="s">
        <v>85</v>
      </c>
      <c r="C36" s="22" t="s">
        <v>86</v>
      </c>
      <c r="D36" s="23">
        <v>9239</v>
      </c>
      <c r="E36" s="24">
        <f t="shared" si="1"/>
        <v>3.0596390851192326E-2</v>
      </c>
      <c r="F36" s="25">
        <f t="shared" si="2"/>
        <v>3913.4488117645396</v>
      </c>
      <c r="G36" s="26">
        <f t="shared" si="3"/>
        <v>195.672440588227</v>
      </c>
      <c r="H36" s="26">
        <f t="shared" si="0"/>
        <v>4109.1212523527665</v>
      </c>
    </row>
    <row r="37" spans="1:12" customFormat="1" x14ac:dyDescent="0.25">
      <c r="A37" s="20" t="s">
        <v>87</v>
      </c>
      <c r="B37" s="21" t="s">
        <v>88</v>
      </c>
      <c r="C37" s="22" t="s">
        <v>89</v>
      </c>
      <c r="D37" s="23">
        <v>4892</v>
      </c>
      <c r="E37" s="24">
        <f t="shared" si="1"/>
        <v>1.6200621717072504E-2</v>
      </c>
      <c r="F37" s="25">
        <f t="shared" si="2"/>
        <v>2072.1497550765375</v>
      </c>
      <c r="G37" s="26">
        <f t="shared" si="3"/>
        <v>103.60748775382689</v>
      </c>
      <c r="H37" s="26">
        <f t="shared" si="0"/>
        <v>2175.7572428303642</v>
      </c>
    </row>
    <row r="38" spans="1:12" customFormat="1" x14ac:dyDescent="0.25">
      <c r="A38" s="20" t="s">
        <v>90</v>
      </c>
      <c r="B38" s="21" t="s">
        <v>91</v>
      </c>
      <c r="C38" s="22">
        <v>41497649000147</v>
      </c>
      <c r="D38" s="23">
        <v>2526</v>
      </c>
      <c r="E38" s="24">
        <f t="shared" si="1"/>
        <v>8.3652433477770117E-3</v>
      </c>
      <c r="F38" s="25">
        <f t="shared" si="2"/>
        <v>1069.961218586127</v>
      </c>
      <c r="G38" s="26">
        <f t="shared" si="3"/>
        <v>53.498060929306348</v>
      </c>
      <c r="H38" s="26">
        <f t="shared" si="0"/>
        <v>1123.4592795154333</v>
      </c>
    </row>
    <row r="39" spans="1:12" customFormat="1" x14ac:dyDescent="0.25">
      <c r="A39" s="20" t="s">
        <v>92</v>
      </c>
      <c r="B39" s="21" t="s">
        <v>93</v>
      </c>
      <c r="C39" s="22">
        <v>40580071000125</v>
      </c>
      <c r="D39" s="23">
        <v>3600</v>
      </c>
      <c r="E39" s="24">
        <f t="shared" si="1"/>
        <v>1.1921962015834221E-2</v>
      </c>
      <c r="F39" s="25">
        <f t="shared" si="2"/>
        <v>1524.8853471536252</v>
      </c>
      <c r="G39" s="26">
        <f t="shared" si="3"/>
        <v>76.244267357681267</v>
      </c>
      <c r="H39" s="26">
        <f t="shared" si="0"/>
        <v>1601.1296145113065</v>
      </c>
      <c r="I39" s="32" t="s">
        <v>63</v>
      </c>
      <c r="L39" t="s">
        <v>94</v>
      </c>
    </row>
    <row r="40" spans="1:12" customFormat="1" x14ac:dyDescent="0.25">
      <c r="A40" s="20" t="s">
        <v>95</v>
      </c>
      <c r="B40" s="21" t="s">
        <v>96</v>
      </c>
      <c r="C40" s="22" t="s">
        <v>97</v>
      </c>
      <c r="D40" s="23">
        <v>3938</v>
      </c>
      <c r="E40" s="24">
        <f t="shared" si="1"/>
        <v>1.3041301782876434E-2</v>
      </c>
      <c r="F40" s="25">
        <f t="shared" si="2"/>
        <v>1668.0551380808265</v>
      </c>
      <c r="G40" s="26">
        <f t="shared" si="3"/>
        <v>83.402756904041325</v>
      </c>
      <c r="H40" s="26">
        <f t="shared" si="0"/>
        <v>1751.4578949848678</v>
      </c>
    </row>
    <row r="41" spans="1:12" customFormat="1" x14ac:dyDescent="0.25">
      <c r="A41" s="20" t="s">
        <v>98</v>
      </c>
      <c r="B41" s="21" t="s">
        <v>99</v>
      </c>
      <c r="C41" s="22">
        <v>18788190000119</v>
      </c>
      <c r="D41" s="23">
        <v>3707</v>
      </c>
      <c r="E41" s="24">
        <f t="shared" si="1"/>
        <v>1.2276309220193739E-2</v>
      </c>
      <c r="F41" s="25">
        <f t="shared" si="2"/>
        <v>1570.2083283051359</v>
      </c>
      <c r="G41" s="26">
        <f t="shared" si="3"/>
        <v>78.510416415256799</v>
      </c>
      <c r="H41" s="26">
        <f t="shared" si="0"/>
        <v>1648.7187447203926</v>
      </c>
    </row>
    <row r="42" spans="1:12" customFormat="1" x14ac:dyDescent="0.25">
      <c r="A42" s="20" t="s">
        <v>100</v>
      </c>
      <c r="B42" s="21" t="s">
        <v>101</v>
      </c>
      <c r="C42" s="22">
        <v>42109766000159</v>
      </c>
      <c r="D42" s="23">
        <v>5117</v>
      </c>
      <c r="E42" s="24">
        <f t="shared" si="1"/>
        <v>1.694574434306214E-2</v>
      </c>
      <c r="F42" s="25">
        <f t="shared" si="2"/>
        <v>2167.4550892736388</v>
      </c>
      <c r="G42" s="26">
        <f t="shared" si="3"/>
        <v>108.37275446368194</v>
      </c>
      <c r="H42" s="26">
        <f t="shared" si="0"/>
        <v>2275.8278437373206</v>
      </c>
    </row>
    <row r="43" spans="1:12" customFormat="1" x14ac:dyDescent="0.25">
      <c r="A43" s="20" t="s">
        <v>102</v>
      </c>
      <c r="B43" s="21" t="s">
        <v>99</v>
      </c>
      <c r="C43" s="22">
        <v>18788190000119</v>
      </c>
      <c r="D43" s="23">
        <v>14717</v>
      </c>
      <c r="E43" s="24">
        <f t="shared" si="1"/>
        <v>4.8737643051953397E-2</v>
      </c>
      <c r="F43" s="25">
        <f t="shared" si="2"/>
        <v>6233.8160150166395</v>
      </c>
      <c r="G43" s="26">
        <f t="shared" si="3"/>
        <v>311.69080075083201</v>
      </c>
      <c r="H43" s="26">
        <f t="shared" si="0"/>
        <v>6545.5068157674714</v>
      </c>
    </row>
    <row r="44" spans="1:12" customFormat="1" ht="13.5" customHeight="1" x14ac:dyDescent="0.25">
      <c r="A44" s="20" t="s">
        <v>103</v>
      </c>
      <c r="B44" s="21" t="s">
        <v>104</v>
      </c>
      <c r="C44" s="22">
        <v>32302613000170</v>
      </c>
      <c r="D44" s="23">
        <v>5439</v>
      </c>
      <c r="E44" s="24">
        <f t="shared" si="1"/>
        <v>1.8012097612256202E-2</v>
      </c>
      <c r="F44" s="25">
        <f t="shared" si="2"/>
        <v>2303.8476119912684</v>
      </c>
      <c r="G44" s="26">
        <f t="shared" si="3"/>
        <v>115.19238059956342</v>
      </c>
      <c r="H44" s="26">
        <f t="shared" si="0"/>
        <v>2419.0399925908318</v>
      </c>
    </row>
    <row r="45" spans="1:12" customFormat="1" x14ac:dyDescent="0.25">
      <c r="A45" s="20" t="s">
        <v>105</v>
      </c>
      <c r="B45" s="21" t="s">
        <v>106</v>
      </c>
      <c r="C45" s="22">
        <v>28616552000148</v>
      </c>
      <c r="D45" s="23">
        <v>4123.71</v>
      </c>
      <c r="E45" s="24">
        <f t="shared" si="1"/>
        <v>1.3656309440087704E-2</v>
      </c>
      <c r="F45" s="25">
        <f t="shared" si="2"/>
        <v>1746.7180430307988</v>
      </c>
      <c r="G45" s="26">
        <f t="shared" si="3"/>
        <v>87.335902151539941</v>
      </c>
      <c r="H45" s="26">
        <f t="shared" si="0"/>
        <v>1834.0539451823388</v>
      </c>
    </row>
    <row r="46" spans="1:12" customFormat="1" x14ac:dyDescent="0.25">
      <c r="A46" s="20" t="s">
        <v>107</v>
      </c>
      <c r="B46" s="21" t="s">
        <v>108</v>
      </c>
      <c r="C46" s="22">
        <v>42579914000107</v>
      </c>
      <c r="D46" s="23">
        <v>4986.3599999999997</v>
      </c>
      <c r="E46" s="24">
        <f t="shared" si="1"/>
        <v>1.6513109588131979E-2</v>
      </c>
      <c r="F46" s="25">
        <f t="shared" si="2"/>
        <v>2112.1186943424859</v>
      </c>
      <c r="G46" s="26">
        <f t="shared" si="3"/>
        <v>105.6059347171243</v>
      </c>
      <c r="H46" s="26">
        <f t="shared" si="0"/>
        <v>2217.7246290596104</v>
      </c>
    </row>
    <row r="47" spans="1:12" customFormat="1" x14ac:dyDescent="0.25">
      <c r="A47" s="20" t="s">
        <v>109</v>
      </c>
      <c r="B47" s="21" t="s">
        <v>110</v>
      </c>
      <c r="C47" s="22" t="s">
        <v>111</v>
      </c>
      <c r="D47" s="23">
        <v>7462</v>
      </c>
      <c r="E47" s="24">
        <f t="shared" si="1"/>
        <v>2.4711577933931934E-2</v>
      </c>
      <c r="F47" s="25">
        <f t="shared" si="2"/>
        <v>3160.7484612389867</v>
      </c>
      <c r="G47" s="26">
        <f t="shared" si="3"/>
        <v>158.03742306194934</v>
      </c>
      <c r="H47" s="26">
        <f t="shared" si="0"/>
        <v>3318.7858843009362</v>
      </c>
    </row>
    <row r="48" spans="1:12" customFormat="1" x14ac:dyDescent="0.25">
      <c r="A48" s="20" t="s">
        <v>112</v>
      </c>
      <c r="B48" s="21" t="s">
        <v>113</v>
      </c>
      <c r="C48" s="22" t="s">
        <v>114</v>
      </c>
      <c r="D48" s="23">
        <v>5525</v>
      </c>
      <c r="E48" s="24">
        <f t="shared" si="1"/>
        <v>1.8296900038190018E-2</v>
      </c>
      <c r="F48" s="25">
        <f t="shared" si="2"/>
        <v>2340.275428617716</v>
      </c>
      <c r="G48" s="26">
        <f t="shared" si="3"/>
        <v>117.01377143088581</v>
      </c>
      <c r="H48" s="26">
        <f t="shared" si="0"/>
        <v>2457.2892000486017</v>
      </c>
    </row>
    <row r="49" spans="1:8" customFormat="1" x14ac:dyDescent="0.25">
      <c r="A49" s="20" t="s">
        <v>115</v>
      </c>
      <c r="B49" s="21" t="s">
        <v>116</v>
      </c>
      <c r="C49" s="22">
        <v>26480299000112</v>
      </c>
      <c r="D49" s="23"/>
      <c r="E49" s="24">
        <f t="shared" si="1"/>
        <v>0</v>
      </c>
      <c r="F49" s="25">
        <f t="shared" si="2"/>
        <v>0</v>
      </c>
      <c r="G49" s="26">
        <f t="shared" si="3"/>
        <v>0</v>
      </c>
      <c r="H49" s="26">
        <f t="shared" si="0"/>
        <v>0</v>
      </c>
    </row>
    <row r="50" spans="1:8" customFormat="1" x14ac:dyDescent="0.25">
      <c r="A50" s="20" t="s">
        <v>117</v>
      </c>
      <c r="B50" s="21" t="s">
        <v>118</v>
      </c>
      <c r="C50" s="22" t="s">
        <v>119</v>
      </c>
      <c r="D50" s="23">
        <v>4943</v>
      </c>
      <c r="E50" s="24">
        <f t="shared" si="1"/>
        <v>1.6369516178963487E-2</v>
      </c>
      <c r="F50" s="25">
        <f t="shared" si="2"/>
        <v>2093.7522974945468</v>
      </c>
      <c r="G50" s="26">
        <f t="shared" si="3"/>
        <v>104.68761487472734</v>
      </c>
      <c r="H50" s="26">
        <f t="shared" si="0"/>
        <v>2198.4399123692742</v>
      </c>
    </row>
    <row r="51" spans="1:8" customFormat="1" x14ac:dyDescent="0.25">
      <c r="A51" s="20" t="s">
        <v>120</v>
      </c>
      <c r="B51" s="21" t="s">
        <v>121</v>
      </c>
      <c r="C51" s="22">
        <v>12997366000166</v>
      </c>
      <c r="D51" s="23">
        <v>5160</v>
      </c>
      <c r="E51" s="24">
        <f t="shared" si="1"/>
        <v>1.7088145556029052E-2</v>
      </c>
      <c r="F51" s="25">
        <f t="shared" si="2"/>
        <v>2185.668997586863</v>
      </c>
      <c r="G51" s="26">
        <f t="shared" si="3"/>
        <v>109.28344987934315</v>
      </c>
      <c r="H51" s="26">
        <f t="shared" si="0"/>
        <v>2294.9524474662062</v>
      </c>
    </row>
    <row r="52" spans="1:8" customFormat="1" ht="16.5" customHeight="1" x14ac:dyDescent="0.25">
      <c r="A52" s="20" t="s">
        <v>122</v>
      </c>
      <c r="B52" s="21" t="s">
        <v>123</v>
      </c>
      <c r="C52" s="22" t="s">
        <v>124</v>
      </c>
      <c r="D52" s="23">
        <v>6586</v>
      </c>
      <c r="E52" s="24">
        <f t="shared" si="1"/>
        <v>2.1810567176745607E-2</v>
      </c>
      <c r="F52" s="25">
        <f t="shared" si="2"/>
        <v>2789.6930267649377</v>
      </c>
      <c r="G52" s="26">
        <f t="shared" si="3"/>
        <v>139.48465133824689</v>
      </c>
      <c r="H52" s="26">
        <f t="shared" si="0"/>
        <v>2929.1776781031845</v>
      </c>
    </row>
    <row r="53" spans="1:8" customFormat="1" x14ac:dyDescent="0.25">
      <c r="A53" s="20" t="s">
        <v>125</v>
      </c>
      <c r="B53" s="21" t="s">
        <v>126</v>
      </c>
      <c r="C53" s="22">
        <v>11884518000151</v>
      </c>
      <c r="D53" s="23">
        <v>5644</v>
      </c>
      <c r="E53" s="24">
        <f t="shared" si="1"/>
        <v>1.8690987115935653E-2</v>
      </c>
      <c r="F53" s="25">
        <f t="shared" si="2"/>
        <v>2390.6813609264059</v>
      </c>
      <c r="G53" s="26">
        <f t="shared" si="3"/>
        <v>119.5340680463203</v>
      </c>
      <c r="H53" s="26">
        <f t="shared" si="0"/>
        <v>2510.2154289727264</v>
      </c>
    </row>
    <row r="54" spans="1:8" customFormat="1" x14ac:dyDescent="0.25">
      <c r="A54" s="20" t="s">
        <v>127</v>
      </c>
      <c r="B54" s="21" t="s">
        <v>128</v>
      </c>
      <c r="C54" s="22">
        <v>36188051000136</v>
      </c>
      <c r="D54" s="23">
        <v>6936</v>
      </c>
      <c r="E54" s="24">
        <f t="shared" si="1"/>
        <v>2.2969646817173933E-2</v>
      </c>
      <c r="F54" s="25">
        <f t="shared" si="2"/>
        <v>2937.9457688493176</v>
      </c>
      <c r="G54" s="26">
        <f t="shared" si="3"/>
        <v>146.89728844246588</v>
      </c>
      <c r="H54" s="26">
        <f t="shared" si="0"/>
        <v>3084.8430572917832</v>
      </c>
    </row>
    <row r="55" spans="1:8" customFormat="1" x14ac:dyDescent="0.25">
      <c r="A55" s="20" t="s">
        <v>129</v>
      </c>
      <c r="B55" s="21" t="s">
        <v>130</v>
      </c>
      <c r="C55" s="22" t="s">
        <v>131</v>
      </c>
      <c r="D55" s="23">
        <f>7425*40%</f>
        <v>2970</v>
      </c>
      <c r="E55" s="24">
        <f t="shared" si="1"/>
        <v>9.8356186630632319E-3</v>
      </c>
      <c r="F55" s="25">
        <f t="shared" si="2"/>
        <v>1258.0304114017406</v>
      </c>
      <c r="G55" s="26">
        <f t="shared" si="3"/>
        <v>62.90152057008703</v>
      </c>
      <c r="H55" s="26">
        <f t="shared" si="0"/>
        <v>1320.9319319718277</v>
      </c>
    </row>
    <row r="56" spans="1:8" customFormat="1" x14ac:dyDescent="0.25">
      <c r="A56" s="20" t="s">
        <v>132</v>
      </c>
      <c r="B56" s="21" t="s">
        <v>133</v>
      </c>
      <c r="C56" s="22">
        <v>18741082000190</v>
      </c>
      <c r="D56" s="23">
        <v>12183</v>
      </c>
      <c r="E56" s="24">
        <f t="shared" si="1"/>
        <v>4.0345906455252309E-2</v>
      </c>
      <c r="F56" s="25">
        <f t="shared" si="2"/>
        <v>5160.4661623257261</v>
      </c>
      <c r="G56" s="26">
        <f t="shared" si="3"/>
        <v>258.02330811628633</v>
      </c>
      <c r="H56" s="26">
        <f t="shared" si="0"/>
        <v>5418.4894704420121</v>
      </c>
    </row>
    <row r="57" spans="1:8" customFormat="1" x14ac:dyDescent="0.25">
      <c r="A57" s="20" t="s">
        <v>134</v>
      </c>
      <c r="B57" s="21" t="s">
        <v>135</v>
      </c>
      <c r="C57" s="22" t="s">
        <v>136</v>
      </c>
      <c r="D57" s="23">
        <v>4814</v>
      </c>
      <c r="E57" s="24">
        <f t="shared" si="1"/>
        <v>1.5942312540062762E-2</v>
      </c>
      <c r="F57" s="25">
        <f t="shared" si="2"/>
        <v>2039.1105725548755</v>
      </c>
      <c r="G57" s="26">
        <f t="shared" si="3"/>
        <v>101.95552862774377</v>
      </c>
      <c r="H57" s="26">
        <f t="shared" si="0"/>
        <v>2141.0661011826191</v>
      </c>
    </row>
    <row r="58" spans="1:8" customFormat="1" x14ac:dyDescent="0.25">
      <c r="A58" s="20" t="s">
        <v>137</v>
      </c>
      <c r="B58" s="21" t="s">
        <v>138</v>
      </c>
      <c r="C58" s="22" t="s">
        <v>139</v>
      </c>
      <c r="D58" s="23">
        <v>3476.86</v>
      </c>
      <c r="E58" s="24">
        <f t="shared" si="1"/>
        <v>1.1514164681770382E-2</v>
      </c>
      <c r="F58" s="25">
        <f t="shared" si="2"/>
        <v>1472.7257966957093</v>
      </c>
      <c r="G58" s="26">
        <f t="shared" si="3"/>
        <v>73.636289834785472</v>
      </c>
      <c r="H58" s="26">
        <f t="shared" si="0"/>
        <v>1546.3620865304947</v>
      </c>
    </row>
    <row r="59" spans="1:8" customFormat="1" x14ac:dyDescent="0.25">
      <c r="A59" s="20" t="s">
        <v>140</v>
      </c>
      <c r="B59" s="28" t="s">
        <v>141</v>
      </c>
      <c r="C59" s="22">
        <v>11884518000151</v>
      </c>
      <c r="D59" s="23">
        <f>81377.44-14717-3314-9239+11302+4126.33</f>
        <v>69535.77</v>
      </c>
      <c r="E59" s="24">
        <f t="shared" si="1"/>
        <v>0.23027855796716246</v>
      </c>
      <c r="F59" s="25">
        <f t="shared" si="2"/>
        <v>29453.910215567957</v>
      </c>
      <c r="G59" s="26">
        <f t="shared" si="3"/>
        <v>1472.6955107783979</v>
      </c>
      <c r="H59" s="26">
        <f t="shared" si="0"/>
        <v>30926.605726346355</v>
      </c>
    </row>
    <row r="60" spans="1:8" customFormat="1" x14ac:dyDescent="0.25">
      <c r="A60" s="34"/>
      <c r="B60" s="35"/>
      <c r="C60" s="36" t="s">
        <v>142</v>
      </c>
      <c r="D60" s="37">
        <f>SUM(D19:D59)</f>
        <v>301963.71999999997</v>
      </c>
      <c r="E60" s="38">
        <f>SUM(E19:E59)</f>
        <v>1</v>
      </c>
      <c r="F60" s="39">
        <f>SUM(F19:F59)</f>
        <v>127905.56999999999</v>
      </c>
      <c r="G60" s="39">
        <f>SUM(G19:G59)</f>
        <v>6395.2785000000003</v>
      </c>
      <c r="H60" s="40">
        <f>SUM(H19:H59)</f>
        <v>134300.84850000002</v>
      </c>
    </row>
    <row r="61" spans="1:8" customFormat="1" x14ac:dyDescent="0.25">
      <c r="F61" s="41"/>
    </row>
    <row r="62" spans="1:8" customFormat="1" x14ac:dyDescent="0.25">
      <c r="F62" s="41"/>
    </row>
    <row r="63" spans="1:8" customFormat="1" hidden="1" x14ac:dyDescent="0.25">
      <c r="B63" s="115" t="s">
        <v>143</v>
      </c>
      <c r="C63" s="115"/>
      <c r="F63" s="41"/>
    </row>
    <row r="64" spans="1:8" customFormat="1" hidden="1" x14ac:dyDescent="0.25">
      <c r="B64" s="116" t="s">
        <v>144</v>
      </c>
      <c r="C64" s="117"/>
      <c r="E64" s="41"/>
      <c r="H64" s="42"/>
    </row>
    <row r="65" spans="4:9" customFormat="1" hidden="1" x14ac:dyDescent="0.25">
      <c r="E65" s="41"/>
      <c r="H65" s="43"/>
    </row>
    <row r="66" spans="4:9" customFormat="1" hidden="1" x14ac:dyDescent="0.25">
      <c r="D66" s="44"/>
      <c r="E66" s="41"/>
      <c r="H66" s="42"/>
    </row>
    <row r="67" spans="4:9" customFormat="1" x14ac:dyDescent="0.25">
      <c r="E67" s="41"/>
    </row>
    <row r="68" spans="4:9" customFormat="1" x14ac:dyDescent="0.25">
      <c r="I68" s="64"/>
    </row>
    <row r="69" spans="4:9" customFormat="1" x14ac:dyDescent="0.25"/>
    <row r="70" spans="4:9" customFormat="1" x14ac:dyDescent="0.25"/>
    <row r="71" spans="4:9" customFormat="1" x14ac:dyDescent="0.25"/>
    <row r="72" spans="4:9" customFormat="1" x14ac:dyDescent="0.25"/>
    <row r="73" spans="4:9" customFormat="1" x14ac:dyDescent="0.25"/>
    <row r="74" spans="4:9" customFormat="1" x14ac:dyDescent="0.25"/>
    <row r="75" spans="4:9" customFormat="1" x14ac:dyDescent="0.25"/>
    <row r="76" spans="4:9" customFormat="1" x14ac:dyDescent="0.25"/>
    <row r="77" spans="4:9" customFormat="1" x14ac:dyDescent="0.25"/>
    <row r="78" spans="4:9" customFormat="1" x14ac:dyDescent="0.25"/>
    <row r="79" spans="4:9" customFormat="1" x14ac:dyDescent="0.25"/>
    <row r="80" spans="4:9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spans="1:8" customFormat="1" x14ac:dyDescent="0.25"/>
    <row r="146" spans="1:8" customFormat="1" x14ac:dyDescent="0.25"/>
    <row r="147" spans="1:8" customFormat="1" x14ac:dyDescent="0.25">
      <c r="A147" s="45"/>
      <c r="B147" s="45"/>
      <c r="C147" s="45"/>
      <c r="D147" s="45"/>
      <c r="E147" s="45"/>
    </row>
    <row r="148" spans="1:8" x14ac:dyDescent="0.25">
      <c r="F148"/>
      <c r="G148"/>
      <c r="H148"/>
    </row>
    <row r="149" spans="1:8" x14ac:dyDescent="0.25">
      <c r="F149"/>
      <c r="G149"/>
      <c r="H149"/>
    </row>
    <row r="150" spans="1:8" x14ac:dyDescent="0.25">
      <c r="F150"/>
      <c r="G150"/>
      <c r="H150"/>
    </row>
    <row r="151" spans="1:8" x14ac:dyDescent="0.25">
      <c r="F151"/>
      <c r="G151"/>
      <c r="H151"/>
    </row>
    <row r="152" spans="1:8" x14ac:dyDescent="0.25">
      <c r="F152"/>
      <c r="G152"/>
      <c r="H152"/>
    </row>
    <row r="153" spans="1:8" x14ac:dyDescent="0.25">
      <c r="F153"/>
      <c r="G153"/>
      <c r="H153"/>
    </row>
    <row r="154" spans="1:8" x14ac:dyDescent="0.25">
      <c r="F154"/>
      <c r="G154"/>
      <c r="H154"/>
    </row>
    <row r="155" spans="1:8" x14ac:dyDescent="0.25">
      <c r="F155"/>
      <c r="G155"/>
      <c r="H155"/>
    </row>
    <row r="156" spans="1:8" x14ac:dyDescent="0.25">
      <c r="F156"/>
      <c r="G156"/>
      <c r="H156"/>
    </row>
    <row r="157" spans="1:8" x14ac:dyDescent="0.25">
      <c r="F157"/>
      <c r="G157"/>
      <c r="H157"/>
    </row>
    <row r="158" spans="1:8" x14ac:dyDescent="0.25">
      <c r="F158"/>
      <c r="G158"/>
      <c r="H158"/>
    </row>
    <row r="159" spans="1:8" x14ac:dyDescent="0.25">
      <c r="F159"/>
      <c r="G159"/>
      <c r="H159"/>
    </row>
    <row r="160" spans="1:8" x14ac:dyDescent="0.25">
      <c r="F160"/>
      <c r="G160"/>
      <c r="H160"/>
    </row>
    <row r="161" spans="6:8" x14ac:dyDescent="0.25">
      <c r="F161"/>
      <c r="G161"/>
      <c r="H161"/>
    </row>
    <row r="162" spans="6:8" x14ac:dyDescent="0.25">
      <c r="F162"/>
      <c r="G162"/>
      <c r="H162"/>
    </row>
    <row r="163" spans="6:8" x14ac:dyDescent="0.25">
      <c r="F163"/>
      <c r="G163"/>
      <c r="H163"/>
    </row>
    <row r="164" spans="6:8" x14ac:dyDescent="0.25">
      <c r="F164"/>
      <c r="G164"/>
      <c r="H164"/>
    </row>
    <row r="165" spans="6:8" x14ac:dyDescent="0.25">
      <c r="F165"/>
      <c r="G165"/>
      <c r="H165"/>
    </row>
    <row r="166" spans="6:8" x14ac:dyDescent="0.25">
      <c r="F166"/>
      <c r="G166"/>
      <c r="H166"/>
    </row>
    <row r="167" spans="6:8" x14ac:dyDescent="0.25">
      <c r="F167"/>
      <c r="G167"/>
      <c r="H167"/>
    </row>
    <row r="168" spans="6:8" x14ac:dyDescent="0.25">
      <c r="F168"/>
      <c r="G168"/>
      <c r="H168"/>
    </row>
    <row r="169" spans="6:8" x14ac:dyDescent="0.25">
      <c r="F169"/>
      <c r="G169"/>
      <c r="H169"/>
    </row>
    <row r="170" spans="6:8" x14ac:dyDescent="0.25">
      <c r="F170"/>
      <c r="G170"/>
      <c r="H170"/>
    </row>
    <row r="171" spans="6:8" x14ac:dyDescent="0.25">
      <c r="F171"/>
      <c r="G171"/>
      <c r="H171"/>
    </row>
    <row r="172" spans="6:8" x14ac:dyDescent="0.25">
      <c r="F172"/>
      <c r="G172"/>
      <c r="H172"/>
    </row>
    <row r="173" spans="6:8" x14ac:dyDescent="0.25">
      <c r="F173"/>
      <c r="G173"/>
      <c r="H173"/>
    </row>
    <row r="174" spans="6:8" x14ac:dyDescent="0.25">
      <c r="F174"/>
      <c r="G174"/>
      <c r="H174"/>
    </row>
    <row r="175" spans="6:8" x14ac:dyDescent="0.25">
      <c r="F175"/>
      <c r="G175"/>
      <c r="H175"/>
    </row>
    <row r="176" spans="6:8" x14ac:dyDescent="0.25">
      <c r="F176"/>
      <c r="G176"/>
      <c r="H176"/>
    </row>
    <row r="177" spans="6:8" x14ac:dyDescent="0.25">
      <c r="F177"/>
      <c r="G177"/>
      <c r="H177"/>
    </row>
    <row r="178" spans="6:8" x14ac:dyDescent="0.25">
      <c r="F178"/>
      <c r="G178"/>
      <c r="H178"/>
    </row>
    <row r="179" spans="6:8" x14ac:dyDescent="0.25">
      <c r="F179"/>
      <c r="G179"/>
      <c r="H179"/>
    </row>
    <row r="180" spans="6:8" x14ac:dyDescent="0.25">
      <c r="F180"/>
      <c r="G180"/>
      <c r="H180"/>
    </row>
    <row r="181" spans="6:8" x14ac:dyDescent="0.25">
      <c r="F181"/>
      <c r="G181"/>
      <c r="H181"/>
    </row>
    <row r="182" spans="6:8" x14ac:dyDescent="0.25">
      <c r="F182"/>
      <c r="G182"/>
      <c r="H182"/>
    </row>
    <row r="183" spans="6:8" x14ac:dyDescent="0.25">
      <c r="F183"/>
      <c r="G183"/>
      <c r="H183"/>
    </row>
    <row r="184" spans="6:8" x14ac:dyDescent="0.25">
      <c r="F184"/>
      <c r="G184"/>
      <c r="H184"/>
    </row>
    <row r="185" spans="6:8" x14ac:dyDescent="0.25">
      <c r="F185"/>
      <c r="G185"/>
      <c r="H185"/>
    </row>
    <row r="186" spans="6:8" x14ac:dyDescent="0.25">
      <c r="F186"/>
      <c r="G186"/>
      <c r="H186"/>
    </row>
    <row r="187" spans="6:8" x14ac:dyDescent="0.25">
      <c r="F187"/>
      <c r="G187"/>
      <c r="H187"/>
    </row>
    <row r="188" spans="6:8" x14ac:dyDescent="0.25">
      <c r="F188"/>
      <c r="G188"/>
      <c r="H188"/>
    </row>
    <row r="189" spans="6:8" x14ac:dyDescent="0.25">
      <c r="F189"/>
      <c r="G189"/>
      <c r="H189"/>
    </row>
    <row r="190" spans="6:8" x14ac:dyDescent="0.25">
      <c r="F190"/>
      <c r="G190"/>
      <c r="H190"/>
    </row>
    <row r="191" spans="6:8" x14ac:dyDescent="0.25">
      <c r="F191"/>
      <c r="G191"/>
      <c r="H191"/>
    </row>
    <row r="192" spans="6:8" x14ac:dyDescent="0.25">
      <c r="F192"/>
      <c r="G192"/>
      <c r="H192"/>
    </row>
    <row r="193" spans="6:8" x14ac:dyDescent="0.25">
      <c r="F193"/>
      <c r="G193"/>
      <c r="H193"/>
    </row>
    <row r="194" spans="6:8" x14ac:dyDescent="0.25">
      <c r="F194"/>
      <c r="G194"/>
      <c r="H194"/>
    </row>
    <row r="195" spans="6:8" x14ac:dyDescent="0.25">
      <c r="F195"/>
      <c r="G195"/>
      <c r="H195"/>
    </row>
    <row r="196" spans="6:8" x14ac:dyDescent="0.25">
      <c r="F196"/>
      <c r="G196"/>
      <c r="H196"/>
    </row>
    <row r="197" spans="6:8" x14ac:dyDescent="0.25">
      <c r="F197"/>
      <c r="G197"/>
      <c r="H197"/>
    </row>
    <row r="198" spans="6:8" x14ac:dyDescent="0.25">
      <c r="F198"/>
      <c r="G198"/>
      <c r="H198"/>
    </row>
    <row r="199" spans="6:8" x14ac:dyDescent="0.25">
      <c r="F199"/>
      <c r="G199"/>
      <c r="H199"/>
    </row>
    <row r="200" spans="6:8" x14ac:dyDescent="0.25">
      <c r="F200"/>
      <c r="G200"/>
      <c r="H200"/>
    </row>
    <row r="201" spans="6:8" x14ac:dyDescent="0.25">
      <c r="F201"/>
      <c r="G201"/>
      <c r="H201"/>
    </row>
    <row r="202" spans="6:8" x14ac:dyDescent="0.25">
      <c r="F202"/>
      <c r="G202"/>
      <c r="H202"/>
    </row>
    <row r="203" spans="6:8" x14ac:dyDescent="0.25">
      <c r="F203"/>
      <c r="G203"/>
      <c r="H203"/>
    </row>
    <row r="204" spans="6:8" x14ac:dyDescent="0.25">
      <c r="F204"/>
      <c r="G204"/>
      <c r="H204"/>
    </row>
    <row r="205" spans="6:8" x14ac:dyDescent="0.25">
      <c r="F205"/>
      <c r="G205"/>
      <c r="H205"/>
    </row>
    <row r="206" spans="6:8" x14ac:dyDescent="0.25">
      <c r="F206"/>
      <c r="G206"/>
      <c r="H206"/>
    </row>
    <row r="207" spans="6:8" x14ac:dyDescent="0.25">
      <c r="F207"/>
      <c r="G207"/>
      <c r="H207"/>
    </row>
    <row r="208" spans="6:8" x14ac:dyDescent="0.25">
      <c r="F208"/>
      <c r="G208"/>
      <c r="H208"/>
    </row>
    <row r="209" spans="6:8" x14ac:dyDescent="0.25">
      <c r="F209"/>
      <c r="G209"/>
      <c r="H209"/>
    </row>
    <row r="210" spans="6:8" x14ac:dyDescent="0.25">
      <c r="F210"/>
      <c r="G210"/>
      <c r="H210"/>
    </row>
    <row r="211" spans="6:8" x14ac:dyDescent="0.25">
      <c r="F211"/>
      <c r="G211"/>
      <c r="H211"/>
    </row>
    <row r="212" spans="6:8" x14ac:dyDescent="0.25">
      <c r="F212"/>
      <c r="G212"/>
      <c r="H212"/>
    </row>
    <row r="213" spans="6:8" x14ac:dyDescent="0.25">
      <c r="F213"/>
      <c r="G213"/>
      <c r="H213"/>
    </row>
    <row r="214" spans="6:8" x14ac:dyDescent="0.25">
      <c r="F214"/>
      <c r="G214"/>
      <c r="H214"/>
    </row>
    <row r="215" spans="6:8" x14ac:dyDescent="0.25">
      <c r="F215"/>
      <c r="G215"/>
      <c r="H215"/>
    </row>
    <row r="216" spans="6:8" x14ac:dyDescent="0.25">
      <c r="F216"/>
      <c r="G216"/>
      <c r="H216"/>
    </row>
    <row r="217" spans="6:8" x14ac:dyDescent="0.25">
      <c r="F217"/>
      <c r="G217"/>
      <c r="H217"/>
    </row>
    <row r="218" spans="6:8" x14ac:dyDescent="0.25">
      <c r="F218"/>
      <c r="G218"/>
      <c r="H218"/>
    </row>
    <row r="219" spans="6:8" x14ac:dyDescent="0.25">
      <c r="F219"/>
      <c r="G219"/>
      <c r="H219"/>
    </row>
    <row r="220" spans="6:8" x14ac:dyDescent="0.25">
      <c r="F220"/>
      <c r="G220"/>
      <c r="H220"/>
    </row>
    <row r="221" spans="6:8" x14ac:dyDescent="0.25">
      <c r="F221"/>
      <c r="G221"/>
      <c r="H221"/>
    </row>
    <row r="222" spans="6:8" x14ac:dyDescent="0.25">
      <c r="F222"/>
      <c r="G222"/>
      <c r="H222"/>
    </row>
    <row r="223" spans="6:8" x14ac:dyDescent="0.25">
      <c r="F223"/>
      <c r="G223"/>
      <c r="H223"/>
    </row>
    <row r="224" spans="6:8" x14ac:dyDescent="0.25">
      <c r="F224"/>
      <c r="G224"/>
      <c r="H224"/>
    </row>
    <row r="225" spans="6:8" x14ac:dyDescent="0.25">
      <c r="F225"/>
      <c r="G225"/>
      <c r="H225"/>
    </row>
    <row r="226" spans="6:8" x14ac:dyDescent="0.25">
      <c r="F226"/>
      <c r="G226"/>
      <c r="H226"/>
    </row>
    <row r="227" spans="6:8" x14ac:dyDescent="0.25">
      <c r="F227"/>
      <c r="G227"/>
      <c r="H227"/>
    </row>
    <row r="228" spans="6:8" x14ac:dyDescent="0.25">
      <c r="F228"/>
      <c r="G228"/>
      <c r="H228"/>
    </row>
    <row r="229" spans="6:8" x14ac:dyDescent="0.25">
      <c r="G229"/>
      <c r="H229"/>
    </row>
  </sheetData>
  <mergeCells count="3">
    <mergeCell ref="B1:G1"/>
    <mergeCell ref="B63:C63"/>
    <mergeCell ref="B64:C64"/>
  </mergeCells>
  <pageMargins left="0.511811024" right="0.511811024" top="0.78740157499999996" bottom="0.78740157499999996" header="0.31496062000000002" footer="0.31496062000000002"/>
  <pageSetup paperSize="9" scale="47" orientation="portrait" horizontalDpi="0" verticalDpi="0" r:id="rId1"/>
  <rowBreaks count="1" manualBreakCount="1">
    <brk id="128" max="7" man="1"/>
  </rowBreaks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C6D7C-66D2-491D-A179-79DBAB51218F}">
  <dimension ref="A1:L229"/>
  <sheetViews>
    <sheetView topLeftCell="A15" zoomScaleNormal="100" workbookViewId="0">
      <selection activeCell="H37" sqref="H37"/>
    </sheetView>
  </sheetViews>
  <sheetFormatPr defaultColWidth="9.140625" defaultRowHeight="15" x14ac:dyDescent="0.25"/>
  <cols>
    <col min="1" max="1" width="29.5703125" style="45" customWidth="1"/>
    <col min="2" max="2" width="45.28515625" style="45" customWidth="1"/>
    <col min="3" max="3" width="29.7109375" style="45" customWidth="1"/>
    <col min="4" max="4" width="21.42578125" style="45" customWidth="1"/>
    <col min="5" max="5" width="17.42578125" style="45" customWidth="1"/>
    <col min="6" max="6" width="16.42578125" style="45" customWidth="1"/>
    <col min="7" max="7" width="17.140625" style="45" customWidth="1"/>
    <col min="8" max="8" width="16.85546875" style="45" bestFit="1" customWidth="1"/>
    <col min="9" max="16384" width="9.140625" style="45"/>
  </cols>
  <sheetData>
    <row r="1" spans="1:8" customFormat="1" ht="21.75" customHeight="1" x14ac:dyDescent="0.25">
      <c r="A1" s="46"/>
      <c r="B1" s="112" t="s">
        <v>0</v>
      </c>
      <c r="C1" s="113"/>
      <c r="D1" s="113"/>
      <c r="E1" s="113"/>
      <c r="F1" s="113"/>
      <c r="G1" s="114"/>
      <c r="H1" s="47"/>
    </row>
    <row r="2" spans="1:8" customFormat="1" ht="30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3"/>
      <c r="F2" s="4" t="s">
        <v>5</v>
      </c>
      <c r="G2" s="5"/>
      <c r="H2" s="6"/>
    </row>
    <row r="3" spans="1:8" customFormat="1" ht="30.6" customHeight="1" x14ac:dyDescent="0.25">
      <c r="A3" s="7">
        <v>1</v>
      </c>
      <c r="B3" s="8" t="s">
        <v>6</v>
      </c>
      <c r="C3" s="8"/>
      <c r="D3" s="9">
        <v>45717</v>
      </c>
      <c r="E3" s="9"/>
      <c r="F3" s="10">
        <f>532.69+550</f>
        <v>1082.69</v>
      </c>
      <c r="G3" s="5"/>
      <c r="H3" s="6"/>
    </row>
    <row r="4" spans="1:8" customFormat="1" ht="30.6" customHeight="1" x14ac:dyDescent="0.25">
      <c r="A4" s="7">
        <v>2</v>
      </c>
      <c r="B4" s="8" t="s">
        <v>8</v>
      </c>
      <c r="C4" s="8" t="s">
        <v>9</v>
      </c>
      <c r="D4" s="9">
        <v>45717</v>
      </c>
      <c r="E4" s="9"/>
      <c r="F4" s="10">
        <v>39590</v>
      </c>
      <c r="G4" s="5"/>
      <c r="H4" s="11"/>
    </row>
    <row r="5" spans="1:8" customFormat="1" ht="30.6" customHeight="1" x14ac:dyDescent="0.25">
      <c r="A5" s="7">
        <v>3</v>
      </c>
      <c r="B5" s="8" t="s">
        <v>10</v>
      </c>
      <c r="C5" s="12" t="s">
        <v>11</v>
      </c>
      <c r="D5" s="9">
        <v>45717</v>
      </c>
      <c r="E5" s="9"/>
      <c r="F5" s="10">
        <f>(38676.1*7%)+38676.1</f>
        <v>41383.426999999996</v>
      </c>
      <c r="G5" s="5"/>
      <c r="H5" s="11"/>
    </row>
    <row r="6" spans="1:8" customFormat="1" ht="30.6" customHeight="1" x14ac:dyDescent="0.25">
      <c r="A6" s="7">
        <v>4</v>
      </c>
      <c r="B6" s="8" t="s">
        <v>156</v>
      </c>
      <c r="C6" s="12" t="s">
        <v>11</v>
      </c>
      <c r="D6" s="9">
        <v>45717</v>
      </c>
      <c r="E6" s="9"/>
      <c r="F6" s="10">
        <f>(38676.1*7%)*2</f>
        <v>5414.6540000000005</v>
      </c>
      <c r="G6" s="5"/>
      <c r="H6" s="11"/>
    </row>
    <row r="7" spans="1:8" customFormat="1" ht="30.6" customHeight="1" x14ac:dyDescent="0.25">
      <c r="A7" s="7">
        <v>5</v>
      </c>
      <c r="B7" s="8" t="s">
        <v>12</v>
      </c>
      <c r="C7" s="8"/>
      <c r="D7" s="9">
        <v>45717</v>
      </c>
      <c r="E7" s="9"/>
      <c r="F7" s="10">
        <v>408.39</v>
      </c>
      <c r="G7" s="5"/>
      <c r="H7" s="6"/>
    </row>
    <row r="8" spans="1:8" customFormat="1" ht="30.6" customHeight="1" x14ac:dyDescent="0.25">
      <c r="A8" s="7">
        <v>6</v>
      </c>
      <c r="B8" s="8" t="s">
        <v>13</v>
      </c>
      <c r="C8" s="8" t="s">
        <v>14</v>
      </c>
      <c r="D8" s="9">
        <v>45717</v>
      </c>
      <c r="E8" s="9"/>
      <c r="F8" s="13">
        <v>1518</v>
      </c>
      <c r="G8" s="5"/>
      <c r="H8" s="6"/>
    </row>
    <row r="9" spans="1:8" customFormat="1" ht="30.6" customHeight="1" x14ac:dyDescent="0.25">
      <c r="A9" s="7">
        <v>7</v>
      </c>
      <c r="B9" s="8" t="s">
        <v>15</v>
      </c>
      <c r="C9" s="8" t="s">
        <v>16</v>
      </c>
      <c r="D9" s="9">
        <v>45717</v>
      </c>
      <c r="E9" s="9"/>
      <c r="F9" s="13">
        <v>2500</v>
      </c>
      <c r="G9" s="5"/>
      <c r="H9" s="6"/>
    </row>
    <row r="10" spans="1:8" customFormat="1" ht="34.5" customHeight="1" x14ac:dyDescent="0.25">
      <c r="A10" s="7">
        <v>8</v>
      </c>
      <c r="B10" s="14" t="s">
        <v>17</v>
      </c>
      <c r="C10" s="12" t="s">
        <v>18</v>
      </c>
      <c r="D10" s="9">
        <v>45717</v>
      </c>
      <c r="E10" s="9"/>
      <c r="F10" s="13">
        <v>880</v>
      </c>
      <c r="G10" s="5"/>
      <c r="H10" s="6"/>
    </row>
    <row r="11" spans="1:8" customFormat="1" ht="30.6" customHeight="1" x14ac:dyDescent="0.25">
      <c r="A11" s="7">
        <v>9</v>
      </c>
      <c r="B11" s="14" t="s">
        <v>19</v>
      </c>
      <c r="C11" s="14" t="s">
        <v>20</v>
      </c>
      <c r="D11" s="9">
        <v>45717</v>
      </c>
      <c r="E11" s="9"/>
      <c r="F11" s="13">
        <v>65.25</v>
      </c>
      <c r="G11" s="5"/>
      <c r="H11" s="6"/>
    </row>
    <row r="12" spans="1:8" customFormat="1" ht="30.6" customHeight="1" x14ac:dyDescent="0.25">
      <c r="A12" s="7">
        <v>10</v>
      </c>
      <c r="B12" s="14" t="s">
        <v>149</v>
      </c>
      <c r="C12" s="14" t="s">
        <v>150</v>
      </c>
      <c r="D12" s="9">
        <v>45717</v>
      </c>
      <c r="E12" s="9"/>
      <c r="F12" s="13">
        <v>149.9</v>
      </c>
      <c r="G12" s="5"/>
      <c r="H12" s="6"/>
    </row>
    <row r="13" spans="1:8" customFormat="1" ht="30.6" customHeight="1" x14ac:dyDescent="0.25">
      <c r="A13" s="7">
        <v>11</v>
      </c>
      <c r="B13" s="14" t="s">
        <v>21</v>
      </c>
      <c r="C13" s="12" t="s">
        <v>22</v>
      </c>
      <c r="D13" s="9">
        <v>45717</v>
      </c>
      <c r="E13" s="9"/>
      <c r="F13" s="13">
        <f>231</f>
        <v>231</v>
      </c>
      <c r="G13" s="5"/>
      <c r="H13" s="15"/>
    </row>
    <row r="14" spans="1:8" customFormat="1" ht="30.6" customHeight="1" x14ac:dyDescent="0.25">
      <c r="A14" s="7">
        <v>12</v>
      </c>
      <c r="B14" s="14" t="s">
        <v>23</v>
      </c>
      <c r="C14" s="8"/>
      <c r="D14" s="9">
        <v>45717</v>
      </c>
      <c r="E14" s="9"/>
      <c r="F14" s="13"/>
      <c r="G14" s="5"/>
      <c r="H14" s="6"/>
    </row>
    <row r="15" spans="1:8" customFormat="1" ht="31.5" customHeight="1" x14ac:dyDescent="0.25">
      <c r="A15" s="7">
        <v>13</v>
      </c>
      <c r="B15" s="14" t="s">
        <v>24</v>
      </c>
      <c r="C15" s="12" t="s">
        <v>25</v>
      </c>
      <c r="D15" s="9">
        <v>45717</v>
      </c>
      <c r="E15" s="9"/>
      <c r="F15" s="13">
        <v>473.6</v>
      </c>
      <c r="G15" s="5"/>
      <c r="H15" s="6"/>
    </row>
    <row r="16" spans="1:8" customFormat="1" ht="31.5" customHeight="1" x14ac:dyDescent="0.25">
      <c r="A16" s="7">
        <v>14</v>
      </c>
      <c r="B16" s="14" t="s">
        <v>157</v>
      </c>
      <c r="C16" s="12" t="s">
        <v>158</v>
      </c>
      <c r="D16" s="9">
        <v>45717</v>
      </c>
      <c r="E16" s="9"/>
      <c r="F16" s="13">
        <v>73.81</v>
      </c>
      <c r="G16" s="5"/>
      <c r="H16" s="6"/>
    </row>
    <row r="17" spans="1:12" customFormat="1" ht="31.5" customHeight="1" x14ac:dyDescent="0.25">
      <c r="A17" s="7">
        <v>15</v>
      </c>
      <c r="B17" s="14" t="s">
        <v>159</v>
      </c>
      <c r="C17" s="12" t="s">
        <v>160</v>
      </c>
      <c r="D17" s="9">
        <v>45717</v>
      </c>
      <c r="E17" s="9"/>
      <c r="F17" s="13">
        <f>722*2</f>
        <v>1444</v>
      </c>
      <c r="G17" s="5"/>
      <c r="H17" s="6"/>
    </row>
    <row r="18" spans="1:12" customFormat="1" ht="42" customHeight="1" x14ac:dyDescent="0.25">
      <c r="A18" s="48"/>
      <c r="B18" s="49" t="s">
        <v>31</v>
      </c>
      <c r="C18" s="50"/>
      <c r="D18" s="51"/>
      <c r="E18" s="52"/>
      <c r="F18" s="53">
        <f>SUM(F3:F17)</f>
        <v>95214.72099999999</v>
      </c>
      <c r="G18" s="54"/>
      <c r="H18" s="55"/>
    </row>
    <row r="19" spans="1:12" customFormat="1" ht="21.75" customHeight="1" x14ac:dyDescent="0.25">
      <c r="A19" s="16" t="s">
        <v>32</v>
      </c>
      <c r="B19" s="17" t="s">
        <v>33</v>
      </c>
      <c r="C19" s="18" t="s">
        <v>34</v>
      </c>
      <c r="D19" s="16" t="s">
        <v>35</v>
      </c>
      <c r="E19" s="16" t="s">
        <v>36</v>
      </c>
      <c r="F19" s="16" t="s">
        <v>37</v>
      </c>
      <c r="G19" s="19" t="s">
        <v>38</v>
      </c>
      <c r="H19" s="18" t="s">
        <v>39</v>
      </c>
    </row>
    <row r="20" spans="1:12" s="72" customFormat="1" ht="15" customHeight="1" x14ac:dyDescent="0.25">
      <c r="A20" s="65" t="s">
        <v>40</v>
      </c>
      <c r="B20" s="66" t="s">
        <v>41</v>
      </c>
      <c r="C20" s="67" t="s">
        <v>42</v>
      </c>
      <c r="D20" s="68">
        <v>4016</v>
      </c>
      <c r="E20" s="69">
        <f>D20/$D$63</f>
        <v>1.3299610959886176E-2</v>
      </c>
      <c r="F20" s="70">
        <f>$F$18*E20</f>
        <v>1266.3187469541042</v>
      </c>
      <c r="G20" s="71">
        <f>F20*5%</f>
        <v>63.315937347705216</v>
      </c>
      <c r="H20" s="71">
        <f t="shared" ref="H20:H62" si="0">F20+G20</f>
        <v>1329.6346843018093</v>
      </c>
    </row>
    <row r="21" spans="1:12" s="74" customFormat="1" x14ac:dyDescent="0.25">
      <c r="A21" s="65" t="s">
        <v>43</v>
      </c>
      <c r="B21" s="73" t="s">
        <v>44</v>
      </c>
      <c r="C21" s="67">
        <v>18778225000139</v>
      </c>
      <c r="D21" s="68">
        <v>8711.2199999999993</v>
      </c>
      <c r="E21" s="69">
        <f t="shared" ref="E21:E62" si="1">D21/$D$63</f>
        <v>2.8848564986548714E-2</v>
      </c>
      <c r="F21" s="70">
        <f t="shared" ref="F21:F62" si="2">$F$18*E21</f>
        <v>2746.8080664446043</v>
      </c>
      <c r="G21" s="71">
        <f t="shared" ref="G21:G62" si="3">F21*5%</f>
        <v>137.34040332223023</v>
      </c>
      <c r="H21" s="71">
        <f t="shared" si="0"/>
        <v>2884.1484697668343</v>
      </c>
    </row>
    <row r="22" spans="1:12" s="74" customFormat="1" x14ac:dyDescent="0.25">
      <c r="A22" s="65" t="s">
        <v>45</v>
      </c>
      <c r="B22" s="73" t="s">
        <v>46</v>
      </c>
      <c r="C22" s="67">
        <v>41993875000119</v>
      </c>
      <c r="D22" s="68">
        <v>3641.8</v>
      </c>
      <c r="E22" s="69">
        <f t="shared" si="1"/>
        <v>1.206038924146252E-2</v>
      </c>
      <c r="F22" s="70">
        <f t="shared" si="2"/>
        <v>1148.3265967772554</v>
      </c>
      <c r="G22" s="71">
        <f t="shared" si="3"/>
        <v>57.416329838862772</v>
      </c>
      <c r="H22" s="71">
        <f t="shared" si="0"/>
        <v>1205.7429266161182</v>
      </c>
    </row>
    <row r="23" spans="1:12" s="74" customFormat="1" x14ac:dyDescent="0.25">
      <c r="A23" s="65" t="s">
        <v>47</v>
      </c>
      <c r="B23" s="66" t="s">
        <v>48</v>
      </c>
      <c r="C23" s="67">
        <v>24781302000102</v>
      </c>
      <c r="D23" s="68">
        <v>3430</v>
      </c>
      <c r="E23" s="69">
        <f t="shared" si="1"/>
        <v>1.1358980476197605E-2</v>
      </c>
      <c r="F23" s="70">
        <f t="shared" si="2"/>
        <v>1081.542156885602</v>
      </c>
      <c r="G23" s="71">
        <f t="shared" si="3"/>
        <v>54.077107844280107</v>
      </c>
      <c r="H23" s="71">
        <f t="shared" si="0"/>
        <v>1135.6192647298822</v>
      </c>
    </row>
    <row r="24" spans="1:12" customFormat="1" x14ac:dyDescent="0.25">
      <c r="A24" s="20" t="s">
        <v>161</v>
      </c>
      <c r="B24" s="66" t="s">
        <v>162</v>
      </c>
      <c r="C24" s="22" t="s">
        <v>163</v>
      </c>
      <c r="D24" s="23">
        <v>9403</v>
      </c>
      <c r="E24" s="69">
        <f t="shared" si="1"/>
        <v>3.1139502454135885E-2</v>
      </c>
      <c r="F24" s="70">
        <f t="shared" si="2"/>
        <v>2964.9390382493634</v>
      </c>
      <c r="G24" s="26">
        <f t="shared" si="3"/>
        <v>148.24695191246818</v>
      </c>
      <c r="H24" s="26">
        <f t="shared" si="0"/>
        <v>3113.1859901618318</v>
      </c>
    </row>
    <row r="25" spans="1:12" s="74" customFormat="1" x14ac:dyDescent="0.25">
      <c r="A25" s="65" t="s">
        <v>49</v>
      </c>
      <c r="B25" s="66" t="s">
        <v>50</v>
      </c>
      <c r="C25" s="67">
        <v>38649716000197</v>
      </c>
      <c r="D25" s="68">
        <v>3440</v>
      </c>
      <c r="E25" s="69">
        <f t="shared" si="1"/>
        <v>1.1392097037352699E-2</v>
      </c>
      <c r="F25" s="70">
        <f t="shared" si="2"/>
        <v>1084.6953410164638</v>
      </c>
      <c r="G25" s="71">
        <f t="shared" si="3"/>
        <v>54.234767050823194</v>
      </c>
      <c r="H25" s="71">
        <f t="shared" si="0"/>
        <v>1138.9301080672869</v>
      </c>
    </row>
    <row r="26" spans="1:12" s="74" customFormat="1" x14ac:dyDescent="0.25">
      <c r="A26" s="65" t="s">
        <v>51</v>
      </c>
      <c r="B26" s="66" t="s">
        <v>52</v>
      </c>
      <c r="C26" s="67" t="s">
        <v>53</v>
      </c>
      <c r="D26" s="68">
        <v>4056</v>
      </c>
      <c r="E26" s="69">
        <f t="shared" si="1"/>
        <v>1.3432077204506556E-2</v>
      </c>
      <c r="F26" s="70">
        <f t="shared" si="2"/>
        <v>1278.9314834775516</v>
      </c>
      <c r="G26" s="71">
        <f t="shared" si="3"/>
        <v>63.946574173877586</v>
      </c>
      <c r="H26" s="71">
        <f t="shared" si="0"/>
        <v>1342.8780576514291</v>
      </c>
    </row>
    <row r="27" spans="1:12" s="74" customFormat="1" x14ac:dyDescent="0.25">
      <c r="A27" s="65" t="s">
        <v>54</v>
      </c>
      <c r="B27" s="66" t="s">
        <v>55</v>
      </c>
      <c r="C27" s="67" t="s">
        <v>56</v>
      </c>
      <c r="D27" s="68">
        <v>11580</v>
      </c>
      <c r="E27" s="69">
        <f t="shared" si="1"/>
        <v>3.8348977817600077E-2</v>
      </c>
      <c r="F27" s="70">
        <f t="shared" si="2"/>
        <v>3651.3872235379799</v>
      </c>
      <c r="G27" s="71">
        <f t="shared" si="3"/>
        <v>182.56936117689901</v>
      </c>
      <c r="H27" s="71">
        <f t="shared" si="0"/>
        <v>3833.9565847148788</v>
      </c>
    </row>
    <row r="28" spans="1:12" s="74" customFormat="1" x14ac:dyDescent="0.25">
      <c r="A28" s="65" t="s">
        <v>57</v>
      </c>
      <c r="B28" s="66" t="s">
        <v>58</v>
      </c>
      <c r="C28" s="67" t="s">
        <v>59</v>
      </c>
      <c r="D28" s="68">
        <f>360+360+1510</f>
        <v>2230</v>
      </c>
      <c r="E28" s="69">
        <f t="shared" si="1"/>
        <v>7.3849931375861979E-3</v>
      </c>
      <c r="F28" s="70">
        <f t="shared" si="2"/>
        <v>703.16006118218434</v>
      </c>
      <c r="G28" s="71">
        <f t="shared" si="3"/>
        <v>35.15800305910922</v>
      </c>
      <c r="H28" s="71">
        <f t="shared" si="0"/>
        <v>738.31806424129354</v>
      </c>
    </row>
    <row r="29" spans="1:12" s="79" customFormat="1" ht="15.75" customHeight="1" x14ac:dyDescent="0.25">
      <c r="A29" s="65" t="s">
        <v>60</v>
      </c>
      <c r="B29" s="75" t="s">
        <v>61</v>
      </c>
      <c r="C29" s="76" t="s">
        <v>62</v>
      </c>
      <c r="D29" s="68">
        <f>5224+3930</f>
        <v>9154</v>
      </c>
      <c r="E29" s="69">
        <f t="shared" si="1"/>
        <v>3.0314900081374017E-2</v>
      </c>
      <c r="F29" s="70">
        <f t="shared" si="2"/>
        <v>2886.4247533909042</v>
      </c>
      <c r="G29" s="71">
        <f t="shared" si="3"/>
        <v>144.32123766954521</v>
      </c>
      <c r="H29" s="77">
        <f t="shared" si="0"/>
        <v>3030.7459910604493</v>
      </c>
      <c r="I29" s="78" t="s">
        <v>63</v>
      </c>
      <c r="L29" s="79" t="s">
        <v>64</v>
      </c>
    </row>
    <row r="30" spans="1:12" s="74" customFormat="1" ht="15.75" customHeight="1" x14ac:dyDescent="0.25">
      <c r="A30" s="65" t="s">
        <v>65</v>
      </c>
      <c r="B30" s="73" t="s">
        <v>66</v>
      </c>
      <c r="C30" s="67" t="s">
        <v>67</v>
      </c>
      <c r="D30" s="68">
        <v>2610</v>
      </c>
      <c r="E30" s="69">
        <f t="shared" si="1"/>
        <v>8.6434224614798105E-3</v>
      </c>
      <c r="F30" s="70">
        <f t="shared" si="2"/>
        <v>822.98105815493329</v>
      </c>
      <c r="G30" s="71">
        <f t="shared" si="3"/>
        <v>41.149052907746665</v>
      </c>
      <c r="H30" s="71">
        <f t="shared" si="0"/>
        <v>864.13011106267993</v>
      </c>
    </row>
    <row r="31" spans="1:12" s="74" customFormat="1" ht="15.75" customHeight="1" x14ac:dyDescent="0.25">
      <c r="A31" s="65" t="s">
        <v>68</v>
      </c>
      <c r="B31" s="73" t="s">
        <v>69</v>
      </c>
      <c r="C31" s="67" t="s">
        <v>70</v>
      </c>
      <c r="D31" s="68">
        <v>5515</v>
      </c>
      <c r="E31" s="69">
        <f t="shared" si="1"/>
        <v>1.8263783477034924E-2</v>
      </c>
      <c r="F31" s="70">
        <f t="shared" si="2"/>
        <v>1738.98104817029</v>
      </c>
      <c r="G31" s="71">
        <f t="shared" si="3"/>
        <v>86.949052408514504</v>
      </c>
      <c r="H31" s="71">
        <f t="shared" si="0"/>
        <v>1825.9301005788045</v>
      </c>
    </row>
    <row r="32" spans="1:12" s="74" customFormat="1" ht="15.75" customHeight="1" x14ac:dyDescent="0.25">
      <c r="A32" s="65" t="s">
        <v>71</v>
      </c>
      <c r="B32" s="66" t="s">
        <v>72</v>
      </c>
      <c r="C32" s="67">
        <v>17202383000183</v>
      </c>
      <c r="D32" s="68">
        <v>15332</v>
      </c>
      <c r="E32" s="69">
        <f t="shared" si="1"/>
        <v>5.0774311562991746E-2</v>
      </c>
      <c r="F32" s="70">
        <f t="shared" si="2"/>
        <v>4834.4619094373329</v>
      </c>
      <c r="G32" s="71">
        <f t="shared" si="3"/>
        <v>241.72309547186666</v>
      </c>
      <c r="H32" s="71">
        <f t="shared" si="0"/>
        <v>5076.1850049092</v>
      </c>
    </row>
    <row r="33" spans="1:12" s="74" customFormat="1" ht="15.75" customHeight="1" x14ac:dyDescent="0.25">
      <c r="A33" s="65" t="s">
        <v>73</v>
      </c>
      <c r="B33" s="66" t="s">
        <v>74</v>
      </c>
      <c r="C33" s="67">
        <v>18183488000103</v>
      </c>
      <c r="D33" s="68">
        <v>7238</v>
      </c>
      <c r="E33" s="69">
        <f t="shared" si="1"/>
        <v>2.3969766964057802E-2</v>
      </c>
      <c r="F33" s="70">
        <f t="shared" si="2"/>
        <v>2282.2746739177805</v>
      </c>
      <c r="G33" s="71">
        <f t="shared" si="3"/>
        <v>114.11373369588904</v>
      </c>
      <c r="H33" s="71">
        <f t="shared" si="0"/>
        <v>2396.3884076136696</v>
      </c>
    </row>
    <row r="34" spans="1:12" s="74" customFormat="1" x14ac:dyDescent="0.25">
      <c r="A34" s="65" t="s">
        <v>75</v>
      </c>
      <c r="B34" s="66" t="s">
        <v>76</v>
      </c>
      <c r="C34" s="67">
        <v>18244070000150</v>
      </c>
      <c r="D34" s="68">
        <v>5941</v>
      </c>
      <c r="E34" s="69">
        <f t="shared" si="1"/>
        <v>1.9674548982241975E-2</v>
      </c>
      <c r="F34" s="70">
        <f t="shared" si="2"/>
        <v>1873.3066921450034</v>
      </c>
      <c r="G34" s="71">
        <f t="shared" si="3"/>
        <v>93.665334607250173</v>
      </c>
      <c r="H34" s="71">
        <f t="shared" si="0"/>
        <v>1966.9720267522534</v>
      </c>
    </row>
    <row r="35" spans="1:12" s="74" customFormat="1" x14ac:dyDescent="0.25">
      <c r="A35" s="65" t="s">
        <v>77</v>
      </c>
      <c r="B35" s="66" t="s">
        <v>78</v>
      </c>
      <c r="C35" s="67">
        <v>18244039000110</v>
      </c>
      <c r="D35" s="68">
        <v>4460</v>
      </c>
      <c r="E35" s="69">
        <f t="shared" si="1"/>
        <v>1.4769986275172396E-2</v>
      </c>
      <c r="F35" s="70">
        <f t="shared" si="2"/>
        <v>1406.3201223643687</v>
      </c>
      <c r="G35" s="71">
        <f t="shared" si="3"/>
        <v>70.316006118218439</v>
      </c>
      <c r="H35" s="71">
        <f t="shared" si="0"/>
        <v>1476.6361284825871</v>
      </c>
    </row>
    <row r="36" spans="1:12" s="74" customFormat="1" x14ac:dyDescent="0.25">
      <c r="A36" s="65" t="s">
        <v>79</v>
      </c>
      <c r="B36" s="66" t="s">
        <v>153</v>
      </c>
      <c r="C36" s="67" t="s">
        <v>154</v>
      </c>
      <c r="D36" s="68">
        <v>4415</v>
      </c>
      <c r="E36" s="69">
        <f t="shared" si="1"/>
        <v>1.4620961749974468E-2</v>
      </c>
      <c r="F36" s="70">
        <f t="shared" si="2"/>
        <v>1392.1307937754905</v>
      </c>
      <c r="G36" s="71">
        <f t="shared" si="3"/>
        <v>69.606539688774532</v>
      </c>
      <c r="H36" s="71">
        <f t="shared" si="0"/>
        <v>1461.737333464265</v>
      </c>
    </row>
    <row r="37" spans="1:12" s="74" customFormat="1" x14ac:dyDescent="0.25">
      <c r="A37" s="65" t="s">
        <v>81</v>
      </c>
      <c r="B37" s="66" t="s">
        <v>217</v>
      </c>
      <c r="C37" s="67"/>
      <c r="D37" s="68">
        <v>4760</v>
      </c>
      <c r="E37" s="69">
        <f t="shared" si="1"/>
        <v>1.5763483109825248E-2</v>
      </c>
      <c r="F37" s="70">
        <f>$F$18*E37</f>
        <v>1500.9156462902231</v>
      </c>
      <c r="G37" s="71">
        <f>F37*5%</f>
        <v>75.045782314511158</v>
      </c>
      <c r="H37" s="71">
        <f>F37+G37</f>
        <v>1575.9614286047342</v>
      </c>
    </row>
    <row r="38" spans="1:12" s="74" customFormat="1" x14ac:dyDescent="0.25">
      <c r="A38" s="65" t="s">
        <v>81</v>
      </c>
      <c r="B38" s="66" t="s">
        <v>82</v>
      </c>
      <c r="C38" s="67" t="s">
        <v>83</v>
      </c>
      <c r="D38" s="68">
        <v>8673</v>
      </c>
      <c r="E38" s="69">
        <f t="shared" si="1"/>
        <v>2.8721993489813944E-2</v>
      </c>
      <c r="F38" s="70">
        <f t="shared" si="2"/>
        <v>2734.7565966964507</v>
      </c>
      <c r="G38" s="71">
        <f t="shared" si="3"/>
        <v>136.73782983482255</v>
      </c>
      <c r="H38" s="71">
        <f t="shared" si="0"/>
        <v>2871.4944265312733</v>
      </c>
    </row>
    <row r="39" spans="1:12" s="74" customFormat="1" x14ac:dyDescent="0.25">
      <c r="A39" s="65" t="s">
        <v>84</v>
      </c>
      <c r="B39" s="66" t="s">
        <v>155</v>
      </c>
      <c r="C39" s="67" t="s">
        <v>86</v>
      </c>
      <c r="D39" s="68">
        <v>9239</v>
      </c>
      <c r="E39" s="69">
        <f t="shared" si="1"/>
        <v>3.0596390851192326E-2</v>
      </c>
      <c r="F39" s="70">
        <f t="shared" si="2"/>
        <v>2913.2268185032294</v>
      </c>
      <c r="G39" s="71">
        <f t="shared" si="3"/>
        <v>145.66134092516148</v>
      </c>
      <c r="H39" s="71">
        <f t="shared" si="0"/>
        <v>3058.8881594283907</v>
      </c>
    </row>
    <row r="40" spans="1:12" s="74" customFormat="1" x14ac:dyDescent="0.25">
      <c r="A40" s="65" t="s">
        <v>87</v>
      </c>
      <c r="B40" s="66" t="s">
        <v>88</v>
      </c>
      <c r="C40" s="67" t="s">
        <v>89</v>
      </c>
      <c r="D40" s="68">
        <v>4892</v>
      </c>
      <c r="E40" s="69">
        <f t="shared" si="1"/>
        <v>1.6200621717072504E-2</v>
      </c>
      <c r="F40" s="70">
        <f t="shared" si="2"/>
        <v>1542.5376768175993</v>
      </c>
      <c r="G40" s="71">
        <f t="shared" si="3"/>
        <v>77.12688384087997</v>
      </c>
      <c r="H40" s="71">
        <f t="shared" si="0"/>
        <v>1619.6645606584793</v>
      </c>
    </row>
    <row r="41" spans="1:12" s="74" customFormat="1" x14ac:dyDescent="0.25">
      <c r="A41" s="65" t="s">
        <v>90</v>
      </c>
      <c r="B41" s="66" t="s">
        <v>91</v>
      </c>
      <c r="C41" s="67">
        <v>41497649000147</v>
      </c>
      <c r="D41" s="68">
        <v>2526</v>
      </c>
      <c r="E41" s="69">
        <f t="shared" si="1"/>
        <v>8.3652433477770117E-3</v>
      </c>
      <c r="F41" s="70">
        <f t="shared" si="2"/>
        <v>796.49431145569406</v>
      </c>
      <c r="G41" s="71">
        <f t="shared" si="3"/>
        <v>39.824715572784704</v>
      </c>
      <c r="H41" s="71">
        <f t="shared" si="0"/>
        <v>836.31902702847879</v>
      </c>
    </row>
    <row r="42" spans="1:12" s="74" customFormat="1" x14ac:dyDescent="0.25">
      <c r="A42" s="65" t="s">
        <v>92</v>
      </c>
      <c r="B42" s="66" t="s">
        <v>93</v>
      </c>
      <c r="C42" s="67">
        <v>40580071000125</v>
      </c>
      <c r="D42" s="68">
        <v>3600</v>
      </c>
      <c r="E42" s="69">
        <f t="shared" si="1"/>
        <v>1.1921962015834221E-2</v>
      </c>
      <c r="F42" s="70">
        <f t="shared" si="2"/>
        <v>1135.1462871102528</v>
      </c>
      <c r="G42" s="71">
        <f t="shared" si="3"/>
        <v>56.757314355512648</v>
      </c>
      <c r="H42" s="71">
        <f t="shared" si="0"/>
        <v>1191.9036014657654</v>
      </c>
      <c r="I42" s="78" t="s">
        <v>63</v>
      </c>
      <c r="L42" s="74" t="s">
        <v>94</v>
      </c>
    </row>
    <row r="43" spans="1:12" s="74" customFormat="1" x14ac:dyDescent="0.25">
      <c r="A43" s="65" t="s">
        <v>95</v>
      </c>
      <c r="B43" s="66" t="s">
        <v>96</v>
      </c>
      <c r="C43" s="67" t="s">
        <v>97</v>
      </c>
      <c r="D43" s="68">
        <v>3938</v>
      </c>
      <c r="E43" s="69">
        <f t="shared" si="1"/>
        <v>1.3041301782876434E-2</v>
      </c>
      <c r="F43" s="70">
        <f t="shared" si="2"/>
        <v>1241.7239107333821</v>
      </c>
      <c r="G43" s="71">
        <f t="shared" si="3"/>
        <v>62.086195536669109</v>
      </c>
      <c r="H43" s="71">
        <f t="shared" si="0"/>
        <v>1303.8101062700512</v>
      </c>
    </row>
    <row r="44" spans="1:12" s="74" customFormat="1" x14ac:dyDescent="0.25">
      <c r="A44" s="65" t="s">
        <v>98</v>
      </c>
      <c r="B44" s="66" t="s">
        <v>99</v>
      </c>
      <c r="C44" s="67">
        <v>18788190000119</v>
      </c>
      <c r="D44" s="68">
        <v>3707</v>
      </c>
      <c r="E44" s="69">
        <f t="shared" si="1"/>
        <v>1.2276309220193739E-2</v>
      </c>
      <c r="F44" s="70">
        <f t="shared" si="2"/>
        <v>1168.8853573104743</v>
      </c>
      <c r="G44" s="71">
        <f t="shared" si="3"/>
        <v>58.44426786552372</v>
      </c>
      <c r="H44" s="71">
        <f t="shared" si="0"/>
        <v>1227.329625175998</v>
      </c>
    </row>
    <row r="45" spans="1:12" s="74" customFormat="1" x14ac:dyDescent="0.25">
      <c r="A45" s="65" t="s">
        <v>100</v>
      </c>
      <c r="B45" s="66" t="s">
        <v>101</v>
      </c>
      <c r="C45" s="67">
        <v>42109766000159</v>
      </c>
      <c r="D45" s="68">
        <v>5117</v>
      </c>
      <c r="E45" s="69">
        <f t="shared" si="1"/>
        <v>1.694574434306214E-2</v>
      </c>
      <c r="F45" s="70">
        <f t="shared" si="2"/>
        <v>1613.4843197619898</v>
      </c>
      <c r="G45" s="71">
        <f t="shared" si="3"/>
        <v>80.67421598809949</v>
      </c>
      <c r="H45" s="71">
        <f t="shared" si="0"/>
        <v>1694.1585357500894</v>
      </c>
    </row>
    <row r="46" spans="1:12" s="74" customFormat="1" x14ac:dyDescent="0.25">
      <c r="A46" s="65" t="s">
        <v>102</v>
      </c>
      <c r="B46" s="66" t="s">
        <v>99</v>
      </c>
      <c r="C46" s="67">
        <v>18788190000119</v>
      </c>
      <c r="D46" s="68">
        <v>14717</v>
      </c>
      <c r="E46" s="69">
        <f t="shared" si="1"/>
        <v>4.8737643051953397E-2</v>
      </c>
      <c r="F46" s="70">
        <f t="shared" si="2"/>
        <v>4640.5410853893309</v>
      </c>
      <c r="G46" s="71">
        <f t="shared" si="3"/>
        <v>232.02705426946656</v>
      </c>
      <c r="H46" s="71">
        <f t="shared" si="0"/>
        <v>4872.568139658797</v>
      </c>
    </row>
    <row r="47" spans="1:12" s="74" customFormat="1" ht="13.5" customHeight="1" x14ac:dyDescent="0.25">
      <c r="A47" s="65" t="s">
        <v>103</v>
      </c>
      <c r="B47" s="66" t="s">
        <v>104</v>
      </c>
      <c r="C47" s="67">
        <v>32302613000170</v>
      </c>
      <c r="D47" s="68">
        <v>5439</v>
      </c>
      <c r="E47" s="69">
        <f t="shared" si="1"/>
        <v>1.8012097612256202E-2</v>
      </c>
      <c r="F47" s="70">
        <f t="shared" si="2"/>
        <v>1715.0168487757403</v>
      </c>
      <c r="G47" s="71">
        <f t="shared" si="3"/>
        <v>85.750842438787018</v>
      </c>
      <c r="H47" s="71">
        <f t="shared" si="0"/>
        <v>1800.7676912145273</v>
      </c>
    </row>
    <row r="48" spans="1:12" s="74" customFormat="1" x14ac:dyDescent="0.25">
      <c r="A48" s="65" t="s">
        <v>105</v>
      </c>
      <c r="B48" s="66" t="s">
        <v>106</v>
      </c>
      <c r="C48" s="67">
        <v>28616552000148</v>
      </c>
      <c r="D48" s="68">
        <v>4123.71</v>
      </c>
      <c r="E48" s="69">
        <f t="shared" si="1"/>
        <v>1.3656309440087704E-2</v>
      </c>
      <c r="F48" s="70">
        <f t="shared" si="2"/>
        <v>1300.2816932276169</v>
      </c>
      <c r="G48" s="71">
        <f t="shared" si="3"/>
        <v>65.014084661380849</v>
      </c>
      <c r="H48" s="71">
        <f t="shared" si="0"/>
        <v>1365.2957778889977</v>
      </c>
    </row>
    <row r="49" spans="1:8" s="74" customFormat="1" x14ac:dyDescent="0.25">
      <c r="A49" s="65" t="s">
        <v>107</v>
      </c>
      <c r="B49" s="66" t="s">
        <v>108</v>
      </c>
      <c r="C49" s="67">
        <v>42579914000107</v>
      </c>
      <c r="D49" s="68">
        <v>4986.3599999999997</v>
      </c>
      <c r="E49" s="69">
        <f t="shared" si="1"/>
        <v>1.6513109588131979E-2</v>
      </c>
      <c r="F49" s="70">
        <f t="shared" si="2"/>
        <v>1572.291122276411</v>
      </c>
      <c r="G49" s="71">
        <f t="shared" si="3"/>
        <v>78.614556113820555</v>
      </c>
      <c r="H49" s="71">
        <f t="shared" si="0"/>
        <v>1650.9056783902315</v>
      </c>
    </row>
    <row r="50" spans="1:8" s="74" customFormat="1" x14ac:dyDescent="0.25">
      <c r="A50" s="65" t="s">
        <v>109</v>
      </c>
      <c r="B50" s="66" t="s">
        <v>110</v>
      </c>
      <c r="C50" s="67" t="s">
        <v>111</v>
      </c>
      <c r="D50" s="68">
        <v>7462</v>
      </c>
      <c r="E50" s="69">
        <f t="shared" si="1"/>
        <v>2.4711577933931934E-2</v>
      </c>
      <c r="F50" s="70">
        <f t="shared" si="2"/>
        <v>2352.9059984490855</v>
      </c>
      <c r="G50" s="71">
        <f t="shared" si="3"/>
        <v>117.64529992245429</v>
      </c>
      <c r="H50" s="71">
        <f t="shared" si="0"/>
        <v>2470.5512983715398</v>
      </c>
    </row>
    <row r="51" spans="1:8" s="74" customFormat="1" x14ac:dyDescent="0.25">
      <c r="A51" s="65" t="s">
        <v>112</v>
      </c>
      <c r="B51" s="66" t="s">
        <v>113</v>
      </c>
      <c r="C51" s="67" t="s">
        <v>114</v>
      </c>
      <c r="D51" s="68">
        <v>5525</v>
      </c>
      <c r="E51" s="69">
        <f t="shared" si="1"/>
        <v>1.8296900038190018E-2</v>
      </c>
      <c r="F51" s="70">
        <f t="shared" si="2"/>
        <v>1742.1342323011518</v>
      </c>
      <c r="G51" s="71">
        <f t="shared" si="3"/>
        <v>87.106711615057591</v>
      </c>
      <c r="H51" s="71">
        <f t="shared" si="0"/>
        <v>1829.2409439162093</v>
      </c>
    </row>
    <row r="52" spans="1:8" s="74" customFormat="1" x14ac:dyDescent="0.25">
      <c r="A52" s="65" t="s">
        <v>115</v>
      </c>
      <c r="B52" s="66" t="s">
        <v>116</v>
      </c>
      <c r="C52" s="67">
        <v>26480299000112</v>
      </c>
      <c r="D52" s="68"/>
      <c r="E52" s="69">
        <f t="shared" si="1"/>
        <v>0</v>
      </c>
      <c r="F52" s="70">
        <f t="shared" si="2"/>
        <v>0</v>
      </c>
      <c r="G52" s="71">
        <f t="shared" si="3"/>
        <v>0</v>
      </c>
      <c r="H52" s="71">
        <f t="shared" si="0"/>
        <v>0</v>
      </c>
    </row>
    <row r="53" spans="1:8" s="74" customFormat="1" x14ac:dyDescent="0.25">
      <c r="A53" s="65" t="s">
        <v>117</v>
      </c>
      <c r="B53" s="66" t="s">
        <v>118</v>
      </c>
      <c r="C53" s="67" t="s">
        <v>119</v>
      </c>
      <c r="D53" s="68">
        <v>4943</v>
      </c>
      <c r="E53" s="69">
        <f t="shared" si="1"/>
        <v>1.6369516178963487E-2</v>
      </c>
      <c r="F53" s="70">
        <f t="shared" si="2"/>
        <v>1558.6189158849943</v>
      </c>
      <c r="G53" s="71">
        <f t="shared" si="3"/>
        <v>77.930945794249723</v>
      </c>
      <c r="H53" s="71">
        <f t="shared" si="0"/>
        <v>1636.549861679244</v>
      </c>
    </row>
    <row r="54" spans="1:8" s="74" customFormat="1" x14ac:dyDescent="0.25">
      <c r="A54" s="65" t="s">
        <v>120</v>
      </c>
      <c r="B54" s="66" t="s">
        <v>121</v>
      </c>
      <c r="C54" s="67">
        <v>12997366000166</v>
      </c>
      <c r="D54" s="68">
        <v>5160</v>
      </c>
      <c r="E54" s="69">
        <f t="shared" si="1"/>
        <v>1.7088145556029052E-2</v>
      </c>
      <c r="F54" s="70">
        <f t="shared" si="2"/>
        <v>1627.0430115246959</v>
      </c>
      <c r="G54" s="71">
        <f t="shared" si="3"/>
        <v>81.352150576234806</v>
      </c>
      <c r="H54" s="71">
        <f t="shared" si="0"/>
        <v>1708.3951621009307</v>
      </c>
    </row>
    <row r="55" spans="1:8" s="74" customFormat="1" ht="16.5" customHeight="1" x14ac:dyDescent="0.25">
      <c r="A55" s="65" t="s">
        <v>122</v>
      </c>
      <c r="B55" s="66" t="s">
        <v>123</v>
      </c>
      <c r="C55" s="67" t="s">
        <v>124</v>
      </c>
      <c r="D55" s="68">
        <v>6586</v>
      </c>
      <c r="E55" s="69">
        <f t="shared" si="1"/>
        <v>2.1810567176745607E-2</v>
      </c>
      <c r="F55" s="70">
        <f t="shared" si="2"/>
        <v>2076.6870685855906</v>
      </c>
      <c r="G55" s="71">
        <f t="shared" si="3"/>
        <v>103.83435342927953</v>
      </c>
      <c r="H55" s="71">
        <f t="shared" si="0"/>
        <v>2180.52142201487</v>
      </c>
    </row>
    <row r="56" spans="1:8" s="74" customFormat="1" x14ac:dyDescent="0.25">
      <c r="A56" s="65" t="s">
        <v>125</v>
      </c>
      <c r="B56" s="66" t="s">
        <v>126</v>
      </c>
      <c r="C56" s="67">
        <v>11884518000151</v>
      </c>
      <c r="D56" s="68">
        <v>5644</v>
      </c>
      <c r="E56" s="69">
        <f t="shared" si="1"/>
        <v>1.8690987115935653E-2</v>
      </c>
      <c r="F56" s="70">
        <f t="shared" si="2"/>
        <v>1779.6571234584076</v>
      </c>
      <c r="G56" s="71">
        <f t="shared" si="3"/>
        <v>88.982856172920378</v>
      </c>
      <c r="H56" s="71">
        <f t="shared" si="0"/>
        <v>1868.6399796313281</v>
      </c>
    </row>
    <row r="57" spans="1:8" s="74" customFormat="1" x14ac:dyDescent="0.25">
      <c r="A57" s="65" t="s">
        <v>127</v>
      </c>
      <c r="B57" s="66" t="s">
        <v>128</v>
      </c>
      <c r="C57" s="67">
        <v>36188051000136</v>
      </c>
      <c r="D57" s="68">
        <v>6936</v>
      </c>
      <c r="E57" s="69">
        <f t="shared" si="1"/>
        <v>2.2969646817173933E-2</v>
      </c>
      <c r="F57" s="70">
        <f t="shared" si="2"/>
        <v>2187.0485131657538</v>
      </c>
      <c r="G57" s="71">
        <f t="shared" si="3"/>
        <v>109.3524256582877</v>
      </c>
      <c r="H57" s="71">
        <f t="shared" si="0"/>
        <v>2296.4009388240415</v>
      </c>
    </row>
    <row r="58" spans="1:8" s="74" customFormat="1" x14ac:dyDescent="0.25">
      <c r="A58" s="65" t="s">
        <v>129</v>
      </c>
      <c r="B58" s="66" t="s">
        <v>130</v>
      </c>
      <c r="C58" s="67" t="s">
        <v>131</v>
      </c>
      <c r="D58" s="68">
        <f>7425*40%</f>
        <v>2970</v>
      </c>
      <c r="E58" s="69">
        <f t="shared" si="1"/>
        <v>9.8356186630632319E-3</v>
      </c>
      <c r="F58" s="70">
        <f t="shared" si="2"/>
        <v>936.49568686595853</v>
      </c>
      <c r="G58" s="71">
        <f t="shared" si="3"/>
        <v>46.824784343297928</v>
      </c>
      <c r="H58" s="71">
        <f t="shared" si="0"/>
        <v>983.32047120925643</v>
      </c>
    </row>
    <row r="59" spans="1:8" s="74" customFormat="1" x14ac:dyDescent="0.25">
      <c r="A59" s="65" t="s">
        <v>132</v>
      </c>
      <c r="B59" s="66" t="s">
        <v>133</v>
      </c>
      <c r="C59" s="67">
        <v>18741082000190</v>
      </c>
      <c r="D59" s="68">
        <v>12183</v>
      </c>
      <c r="E59" s="69">
        <f t="shared" si="1"/>
        <v>4.0345906455252309E-2</v>
      </c>
      <c r="F59" s="70">
        <f t="shared" si="2"/>
        <v>3841.5242266289474</v>
      </c>
      <c r="G59" s="71">
        <f t="shared" si="3"/>
        <v>192.07621133144738</v>
      </c>
      <c r="H59" s="71">
        <f t="shared" si="0"/>
        <v>4033.6004379603946</v>
      </c>
    </row>
    <row r="60" spans="1:8" s="74" customFormat="1" x14ac:dyDescent="0.25">
      <c r="A60" s="65" t="s">
        <v>134</v>
      </c>
      <c r="B60" s="66" t="s">
        <v>135</v>
      </c>
      <c r="C60" s="67" t="s">
        <v>136</v>
      </c>
      <c r="D60" s="68">
        <v>4814</v>
      </c>
      <c r="E60" s="69">
        <f t="shared" si="1"/>
        <v>1.5942312540062762E-2</v>
      </c>
      <c r="F60" s="70">
        <f t="shared" si="2"/>
        <v>1517.942840596877</v>
      </c>
      <c r="G60" s="71">
        <f t="shared" si="3"/>
        <v>75.897142029843849</v>
      </c>
      <c r="H60" s="71">
        <f t="shared" si="0"/>
        <v>1593.8399826267209</v>
      </c>
    </row>
    <row r="61" spans="1:8" s="74" customFormat="1" x14ac:dyDescent="0.25">
      <c r="A61" s="65" t="s">
        <v>137</v>
      </c>
      <c r="B61" s="66" t="s">
        <v>138</v>
      </c>
      <c r="C61" s="67" t="s">
        <v>139</v>
      </c>
      <c r="D61" s="68">
        <v>3476.86</v>
      </c>
      <c r="E61" s="69">
        <f t="shared" si="1"/>
        <v>1.1514164681770382E-2</v>
      </c>
      <c r="F61" s="70">
        <f t="shared" si="2"/>
        <v>1096.3179777228206</v>
      </c>
      <c r="G61" s="71">
        <f t="shared" si="3"/>
        <v>54.815898886141035</v>
      </c>
      <c r="H61" s="71">
        <f t="shared" si="0"/>
        <v>1151.1338766089616</v>
      </c>
    </row>
    <row r="62" spans="1:8" s="74" customFormat="1" x14ac:dyDescent="0.25">
      <c r="A62" s="65" t="s">
        <v>140</v>
      </c>
      <c r="B62" s="73" t="s">
        <v>141</v>
      </c>
      <c r="C62" s="67">
        <v>11884518000151</v>
      </c>
      <c r="D62" s="68">
        <f>81377.44-14717-3314-9239+11302+4126.33-9403-4760</f>
        <v>55372.770000000004</v>
      </c>
      <c r="E62" s="69">
        <f t="shared" si="1"/>
        <v>0.18337557240320132</v>
      </c>
      <c r="F62" s="70">
        <f t="shared" si="2"/>
        <v>17460.05396458611</v>
      </c>
      <c r="G62" s="71">
        <f t="shared" si="3"/>
        <v>873.00269822930557</v>
      </c>
      <c r="H62" s="71">
        <f t="shared" si="0"/>
        <v>18333.056662815416</v>
      </c>
    </row>
    <row r="63" spans="1:8" customFormat="1" x14ac:dyDescent="0.25">
      <c r="A63" s="34"/>
      <c r="B63" s="35"/>
      <c r="C63" s="36" t="s">
        <v>142</v>
      </c>
      <c r="D63" s="37">
        <f>SUM(D20:D62)</f>
        <v>301963.71999999997</v>
      </c>
      <c r="E63" s="38">
        <f>SUM(E20:E62)</f>
        <v>1</v>
      </c>
      <c r="F63" s="39">
        <f>SUM(F20:F62)</f>
        <v>95214.72100000002</v>
      </c>
      <c r="G63" s="39">
        <f>SUM(G20:G62)</f>
        <v>4760.7360499999995</v>
      </c>
      <c r="H63" s="40">
        <f>SUM(H20:H62)</f>
        <v>99975.457050000012</v>
      </c>
    </row>
    <row r="64" spans="1:8" customFormat="1" x14ac:dyDescent="0.25">
      <c r="F64" s="41"/>
    </row>
    <row r="65" spans="4:8" customFormat="1" x14ac:dyDescent="0.25">
      <c r="F65" s="41"/>
    </row>
    <row r="66" spans="4:8" customFormat="1" x14ac:dyDescent="0.25">
      <c r="D66" s="44"/>
      <c r="E66" s="41"/>
      <c r="H66" s="42"/>
    </row>
    <row r="67" spans="4:8" customFormat="1" x14ac:dyDescent="0.25">
      <c r="E67" s="41"/>
    </row>
    <row r="68" spans="4:8" customFormat="1" x14ac:dyDescent="0.25"/>
    <row r="69" spans="4:8" customFormat="1" x14ac:dyDescent="0.25"/>
    <row r="70" spans="4:8" customFormat="1" x14ac:dyDescent="0.25"/>
    <row r="71" spans="4:8" customFormat="1" x14ac:dyDescent="0.25"/>
    <row r="72" spans="4:8" customFormat="1" x14ac:dyDescent="0.25"/>
    <row r="73" spans="4:8" customFormat="1" x14ac:dyDescent="0.25"/>
    <row r="74" spans="4:8" customFormat="1" x14ac:dyDescent="0.25"/>
    <row r="75" spans="4:8" customFormat="1" x14ac:dyDescent="0.25"/>
    <row r="76" spans="4:8" customFormat="1" x14ac:dyDescent="0.25"/>
    <row r="77" spans="4:8" customFormat="1" x14ac:dyDescent="0.25"/>
    <row r="78" spans="4:8" customFormat="1" x14ac:dyDescent="0.25"/>
    <row r="79" spans="4:8" customFormat="1" x14ac:dyDescent="0.25"/>
    <row r="80" spans="4:8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spans="1:8" customFormat="1" x14ac:dyDescent="0.25"/>
    <row r="146" spans="1:8" customFormat="1" x14ac:dyDescent="0.25"/>
    <row r="147" spans="1:8" customFormat="1" x14ac:dyDescent="0.25">
      <c r="A147" s="45"/>
      <c r="B147" s="45"/>
      <c r="C147" s="45"/>
      <c r="D147" s="45"/>
      <c r="E147" s="45"/>
    </row>
    <row r="148" spans="1:8" x14ac:dyDescent="0.25">
      <c r="F148"/>
      <c r="G148"/>
      <c r="H148"/>
    </row>
    <row r="149" spans="1:8" x14ac:dyDescent="0.25">
      <c r="F149"/>
      <c r="G149"/>
      <c r="H149"/>
    </row>
    <row r="150" spans="1:8" x14ac:dyDescent="0.25">
      <c r="F150"/>
      <c r="G150"/>
      <c r="H150"/>
    </row>
    <row r="151" spans="1:8" x14ac:dyDescent="0.25">
      <c r="F151"/>
      <c r="G151"/>
      <c r="H151"/>
    </row>
    <row r="152" spans="1:8" x14ac:dyDescent="0.25">
      <c r="F152"/>
      <c r="G152"/>
      <c r="H152"/>
    </row>
    <row r="153" spans="1:8" x14ac:dyDescent="0.25">
      <c r="F153"/>
      <c r="G153"/>
      <c r="H153"/>
    </row>
    <row r="154" spans="1:8" x14ac:dyDescent="0.25">
      <c r="F154"/>
      <c r="G154"/>
      <c r="H154"/>
    </row>
    <row r="155" spans="1:8" x14ac:dyDescent="0.25">
      <c r="F155"/>
      <c r="G155"/>
      <c r="H155"/>
    </row>
    <row r="156" spans="1:8" x14ac:dyDescent="0.25">
      <c r="F156"/>
      <c r="G156"/>
      <c r="H156"/>
    </row>
    <row r="157" spans="1:8" x14ac:dyDescent="0.25">
      <c r="F157"/>
      <c r="G157"/>
      <c r="H157"/>
    </row>
    <row r="158" spans="1:8" x14ac:dyDescent="0.25">
      <c r="F158"/>
      <c r="G158"/>
      <c r="H158"/>
    </row>
    <row r="159" spans="1:8" x14ac:dyDescent="0.25">
      <c r="F159"/>
      <c r="G159"/>
      <c r="H159"/>
    </row>
    <row r="160" spans="1:8" x14ac:dyDescent="0.25">
      <c r="F160"/>
      <c r="G160"/>
      <c r="H160"/>
    </row>
    <row r="161" spans="6:8" x14ac:dyDescent="0.25">
      <c r="F161"/>
      <c r="G161"/>
      <c r="H161"/>
    </row>
    <row r="162" spans="6:8" x14ac:dyDescent="0.25">
      <c r="F162"/>
      <c r="G162"/>
      <c r="H162"/>
    </row>
    <row r="163" spans="6:8" x14ac:dyDescent="0.25">
      <c r="F163"/>
      <c r="G163"/>
      <c r="H163"/>
    </row>
    <row r="164" spans="6:8" x14ac:dyDescent="0.25">
      <c r="F164"/>
      <c r="G164"/>
      <c r="H164"/>
    </row>
    <row r="165" spans="6:8" x14ac:dyDescent="0.25">
      <c r="F165"/>
      <c r="G165"/>
      <c r="H165"/>
    </row>
    <row r="166" spans="6:8" x14ac:dyDescent="0.25">
      <c r="F166"/>
      <c r="G166"/>
      <c r="H166"/>
    </row>
    <row r="167" spans="6:8" x14ac:dyDescent="0.25">
      <c r="F167"/>
      <c r="G167"/>
      <c r="H167"/>
    </row>
    <row r="168" spans="6:8" x14ac:dyDescent="0.25">
      <c r="F168"/>
      <c r="G168"/>
      <c r="H168"/>
    </row>
    <row r="169" spans="6:8" x14ac:dyDescent="0.25">
      <c r="F169"/>
      <c r="G169"/>
      <c r="H169"/>
    </row>
    <row r="170" spans="6:8" x14ac:dyDescent="0.25">
      <c r="F170"/>
      <c r="G170"/>
      <c r="H170"/>
    </row>
    <row r="171" spans="6:8" x14ac:dyDescent="0.25">
      <c r="F171"/>
      <c r="G171"/>
      <c r="H171"/>
    </row>
    <row r="172" spans="6:8" x14ac:dyDescent="0.25">
      <c r="F172"/>
      <c r="G172"/>
      <c r="H172"/>
    </row>
    <row r="173" spans="6:8" x14ac:dyDescent="0.25">
      <c r="F173"/>
      <c r="G173"/>
      <c r="H173"/>
    </row>
    <row r="174" spans="6:8" x14ac:dyDescent="0.25">
      <c r="F174"/>
      <c r="G174"/>
      <c r="H174"/>
    </row>
    <row r="175" spans="6:8" x14ac:dyDescent="0.25">
      <c r="F175"/>
      <c r="G175"/>
      <c r="H175"/>
    </row>
    <row r="176" spans="6:8" x14ac:dyDescent="0.25">
      <c r="F176"/>
      <c r="G176"/>
      <c r="H176"/>
    </row>
    <row r="177" spans="6:8" x14ac:dyDescent="0.25">
      <c r="F177"/>
      <c r="G177"/>
      <c r="H177"/>
    </row>
    <row r="178" spans="6:8" x14ac:dyDescent="0.25">
      <c r="F178"/>
      <c r="G178"/>
      <c r="H178"/>
    </row>
    <row r="179" spans="6:8" x14ac:dyDescent="0.25">
      <c r="F179"/>
      <c r="G179"/>
      <c r="H179"/>
    </row>
    <row r="180" spans="6:8" x14ac:dyDescent="0.25">
      <c r="F180"/>
      <c r="G180"/>
      <c r="H180"/>
    </row>
    <row r="181" spans="6:8" x14ac:dyDescent="0.25">
      <c r="F181"/>
      <c r="G181"/>
      <c r="H181"/>
    </row>
    <row r="182" spans="6:8" x14ac:dyDescent="0.25">
      <c r="F182"/>
      <c r="G182"/>
      <c r="H182"/>
    </row>
    <row r="183" spans="6:8" x14ac:dyDescent="0.25">
      <c r="F183"/>
      <c r="G183"/>
      <c r="H183"/>
    </row>
    <row r="184" spans="6:8" x14ac:dyDescent="0.25">
      <c r="F184"/>
      <c r="G184"/>
      <c r="H184"/>
    </row>
    <row r="185" spans="6:8" x14ac:dyDescent="0.25">
      <c r="F185"/>
      <c r="G185"/>
      <c r="H185"/>
    </row>
    <row r="186" spans="6:8" x14ac:dyDescent="0.25">
      <c r="F186"/>
      <c r="G186"/>
      <c r="H186"/>
    </row>
    <row r="187" spans="6:8" x14ac:dyDescent="0.25">
      <c r="F187"/>
      <c r="G187"/>
      <c r="H187"/>
    </row>
    <row r="188" spans="6:8" x14ac:dyDescent="0.25">
      <c r="F188"/>
      <c r="G188"/>
      <c r="H188"/>
    </row>
    <row r="189" spans="6:8" x14ac:dyDescent="0.25">
      <c r="F189"/>
      <c r="G189"/>
      <c r="H189"/>
    </row>
    <row r="190" spans="6:8" x14ac:dyDescent="0.25">
      <c r="F190"/>
      <c r="G190"/>
      <c r="H190"/>
    </row>
    <row r="191" spans="6:8" x14ac:dyDescent="0.25">
      <c r="F191"/>
      <c r="G191"/>
      <c r="H191"/>
    </row>
    <row r="192" spans="6:8" x14ac:dyDescent="0.25">
      <c r="F192"/>
      <c r="G192"/>
      <c r="H192"/>
    </row>
    <row r="193" spans="6:8" x14ac:dyDescent="0.25">
      <c r="F193"/>
      <c r="G193"/>
      <c r="H193"/>
    </row>
    <row r="194" spans="6:8" x14ac:dyDescent="0.25">
      <c r="F194"/>
      <c r="G194"/>
      <c r="H194"/>
    </row>
    <row r="195" spans="6:8" x14ac:dyDescent="0.25">
      <c r="F195"/>
      <c r="G195"/>
      <c r="H195"/>
    </row>
    <row r="196" spans="6:8" x14ac:dyDescent="0.25">
      <c r="F196"/>
      <c r="G196"/>
      <c r="H196"/>
    </row>
    <row r="197" spans="6:8" x14ac:dyDescent="0.25">
      <c r="F197"/>
      <c r="G197"/>
      <c r="H197"/>
    </row>
    <row r="198" spans="6:8" x14ac:dyDescent="0.25">
      <c r="F198"/>
      <c r="G198"/>
      <c r="H198"/>
    </row>
    <row r="199" spans="6:8" x14ac:dyDescent="0.25">
      <c r="F199"/>
      <c r="G199"/>
      <c r="H199"/>
    </row>
    <row r="200" spans="6:8" x14ac:dyDescent="0.25">
      <c r="F200"/>
      <c r="G200"/>
      <c r="H200"/>
    </row>
    <row r="201" spans="6:8" x14ac:dyDescent="0.25">
      <c r="F201"/>
      <c r="G201"/>
      <c r="H201"/>
    </row>
    <row r="202" spans="6:8" x14ac:dyDescent="0.25">
      <c r="F202"/>
      <c r="G202"/>
      <c r="H202"/>
    </row>
    <row r="203" spans="6:8" x14ac:dyDescent="0.25">
      <c r="F203"/>
      <c r="G203"/>
      <c r="H203"/>
    </row>
    <row r="204" spans="6:8" x14ac:dyDescent="0.25">
      <c r="F204"/>
      <c r="G204"/>
      <c r="H204"/>
    </row>
    <row r="205" spans="6:8" x14ac:dyDescent="0.25">
      <c r="F205"/>
      <c r="G205"/>
      <c r="H205"/>
    </row>
    <row r="206" spans="6:8" x14ac:dyDescent="0.25">
      <c r="F206"/>
      <c r="G206"/>
      <c r="H206"/>
    </row>
    <row r="207" spans="6:8" x14ac:dyDescent="0.25">
      <c r="F207"/>
      <c r="G207"/>
      <c r="H207"/>
    </row>
    <row r="208" spans="6:8" x14ac:dyDescent="0.25">
      <c r="F208"/>
      <c r="G208"/>
      <c r="H208"/>
    </row>
    <row r="209" spans="6:8" x14ac:dyDescent="0.25">
      <c r="F209"/>
      <c r="G209"/>
      <c r="H209"/>
    </row>
    <row r="210" spans="6:8" x14ac:dyDescent="0.25">
      <c r="F210"/>
      <c r="G210"/>
      <c r="H210"/>
    </row>
    <row r="211" spans="6:8" x14ac:dyDescent="0.25">
      <c r="F211"/>
      <c r="G211"/>
      <c r="H211"/>
    </row>
    <row r="212" spans="6:8" x14ac:dyDescent="0.25">
      <c r="F212"/>
      <c r="G212"/>
      <c r="H212"/>
    </row>
    <row r="213" spans="6:8" x14ac:dyDescent="0.25">
      <c r="F213"/>
      <c r="G213"/>
      <c r="H213"/>
    </row>
    <row r="214" spans="6:8" x14ac:dyDescent="0.25">
      <c r="F214"/>
      <c r="G214"/>
      <c r="H214"/>
    </row>
    <row r="215" spans="6:8" x14ac:dyDescent="0.25">
      <c r="F215"/>
      <c r="G215"/>
      <c r="H215"/>
    </row>
    <row r="216" spans="6:8" x14ac:dyDescent="0.25">
      <c r="F216"/>
      <c r="G216"/>
      <c r="H216"/>
    </row>
    <row r="217" spans="6:8" x14ac:dyDescent="0.25">
      <c r="F217"/>
      <c r="G217"/>
      <c r="H217"/>
    </row>
    <row r="218" spans="6:8" x14ac:dyDescent="0.25">
      <c r="F218"/>
      <c r="G218"/>
      <c r="H218"/>
    </row>
    <row r="219" spans="6:8" x14ac:dyDescent="0.25">
      <c r="F219"/>
      <c r="G219"/>
      <c r="H219"/>
    </row>
    <row r="220" spans="6:8" x14ac:dyDescent="0.25">
      <c r="F220"/>
      <c r="G220"/>
      <c r="H220"/>
    </row>
    <row r="221" spans="6:8" x14ac:dyDescent="0.25">
      <c r="F221"/>
      <c r="G221"/>
      <c r="H221"/>
    </row>
    <row r="222" spans="6:8" x14ac:dyDescent="0.25">
      <c r="F222"/>
      <c r="G222"/>
      <c r="H222"/>
    </row>
    <row r="223" spans="6:8" x14ac:dyDescent="0.25">
      <c r="F223"/>
      <c r="G223"/>
      <c r="H223"/>
    </row>
    <row r="224" spans="6:8" x14ac:dyDescent="0.25">
      <c r="F224"/>
      <c r="G224"/>
      <c r="H224"/>
    </row>
    <row r="225" spans="6:8" x14ac:dyDescent="0.25">
      <c r="F225"/>
      <c r="G225"/>
      <c r="H225"/>
    </row>
    <row r="226" spans="6:8" x14ac:dyDescent="0.25">
      <c r="F226"/>
      <c r="G226"/>
      <c r="H226"/>
    </row>
    <row r="227" spans="6:8" x14ac:dyDescent="0.25">
      <c r="F227"/>
      <c r="G227"/>
      <c r="H227"/>
    </row>
    <row r="228" spans="6:8" x14ac:dyDescent="0.25">
      <c r="F228"/>
      <c r="G228"/>
      <c r="H228"/>
    </row>
    <row r="229" spans="6:8" x14ac:dyDescent="0.25">
      <c r="G229"/>
      <c r="H229"/>
    </row>
  </sheetData>
  <mergeCells count="1">
    <mergeCell ref="B1:G1"/>
  </mergeCells>
  <pageMargins left="0.511811024" right="0.511811024" top="0.78740157499999996" bottom="0.78740157499999996" header="0.31496062000000002" footer="0.31496062000000002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EE5B-32F8-47B9-B42B-E81A1032F7B1}">
  <dimension ref="A1:L230"/>
  <sheetViews>
    <sheetView topLeftCell="A38" zoomScaleNormal="100" workbookViewId="0">
      <selection activeCell="A38" sqref="A38:XFD38"/>
    </sheetView>
  </sheetViews>
  <sheetFormatPr defaultColWidth="9.140625" defaultRowHeight="15" x14ac:dyDescent="0.25"/>
  <cols>
    <col min="1" max="1" width="29.5703125" style="45" customWidth="1"/>
    <col min="2" max="2" width="45.28515625" style="45" customWidth="1"/>
    <col min="3" max="3" width="29.7109375" style="45" customWidth="1"/>
    <col min="4" max="4" width="21.42578125" style="45" customWidth="1"/>
    <col min="5" max="5" width="17.42578125" style="45" customWidth="1"/>
    <col min="6" max="6" width="16.42578125" style="45" customWidth="1"/>
    <col min="7" max="7" width="17.140625" style="45" customWidth="1"/>
    <col min="8" max="8" width="16.85546875" style="45" bestFit="1" customWidth="1"/>
    <col min="9" max="16384" width="9.140625" style="45"/>
  </cols>
  <sheetData>
    <row r="1" spans="1:8" customFormat="1" ht="21.75" customHeight="1" x14ac:dyDescent="0.25">
      <c r="A1" s="46"/>
      <c r="B1" s="112" t="s">
        <v>0</v>
      </c>
      <c r="C1" s="113"/>
      <c r="D1" s="113"/>
      <c r="E1" s="113"/>
      <c r="F1" s="113"/>
      <c r="G1" s="114"/>
      <c r="H1" s="47"/>
    </row>
    <row r="2" spans="1:8" customFormat="1" ht="30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3"/>
      <c r="F2" s="4" t="s">
        <v>5</v>
      </c>
      <c r="G2" s="5"/>
      <c r="H2" s="6"/>
    </row>
    <row r="3" spans="1:8" customFormat="1" ht="30.6" customHeight="1" x14ac:dyDescent="0.25">
      <c r="A3" s="7">
        <v>1</v>
      </c>
      <c r="B3" s="8" t="s">
        <v>6</v>
      </c>
      <c r="C3" s="8"/>
      <c r="D3" s="9">
        <v>45717</v>
      </c>
      <c r="E3" s="9"/>
      <c r="F3" s="10">
        <f>532.69+550</f>
        <v>1082.69</v>
      </c>
      <c r="G3" s="5"/>
      <c r="H3" s="6"/>
    </row>
    <row r="4" spans="1:8" customFormat="1" ht="30.6" customHeight="1" x14ac:dyDescent="0.25">
      <c r="A4" s="7">
        <v>2</v>
      </c>
      <c r="B4" s="8" t="s">
        <v>8</v>
      </c>
      <c r="C4" s="8" t="s">
        <v>9</v>
      </c>
      <c r="D4" s="9">
        <v>45717</v>
      </c>
      <c r="E4" s="9"/>
      <c r="F4" s="10">
        <v>39590</v>
      </c>
      <c r="G4" s="5"/>
      <c r="H4" s="11"/>
    </row>
    <row r="5" spans="1:8" customFormat="1" ht="30.6" customHeight="1" x14ac:dyDescent="0.25">
      <c r="A5" s="7">
        <v>3</v>
      </c>
      <c r="B5" s="8" t="s">
        <v>10</v>
      </c>
      <c r="C5" s="12" t="s">
        <v>11</v>
      </c>
      <c r="D5" s="9">
        <v>45717</v>
      </c>
      <c r="E5" s="9"/>
      <c r="F5" s="10">
        <f>(38676.1*7%)+38676.1</f>
        <v>41383.426999999996</v>
      </c>
      <c r="G5" s="5"/>
      <c r="H5" s="11"/>
    </row>
    <row r="6" spans="1:8" customFormat="1" ht="30.6" customHeight="1" x14ac:dyDescent="0.25">
      <c r="A6" s="7"/>
      <c r="B6" s="8"/>
      <c r="C6" s="12"/>
      <c r="D6" s="9"/>
      <c r="E6" s="9"/>
      <c r="F6" s="10">
        <v>37000</v>
      </c>
      <c r="G6" s="5"/>
      <c r="H6" s="11"/>
    </row>
    <row r="7" spans="1:8" customFormat="1" ht="30.6" customHeight="1" x14ac:dyDescent="0.25">
      <c r="A7" s="7"/>
      <c r="B7" s="8"/>
      <c r="C7" s="12"/>
      <c r="D7" s="9"/>
      <c r="E7" s="9"/>
      <c r="F7" s="10">
        <v>5000</v>
      </c>
      <c r="G7" s="5"/>
      <c r="H7" s="11"/>
    </row>
    <row r="8" spans="1:8" customFormat="1" ht="30.6" customHeight="1" x14ac:dyDescent="0.25">
      <c r="A8" s="7">
        <v>5</v>
      </c>
      <c r="B8" s="8" t="s">
        <v>12</v>
      </c>
      <c r="C8" s="8"/>
      <c r="D8" s="9">
        <v>45717</v>
      </c>
      <c r="E8" s="9"/>
      <c r="F8" s="10">
        <v>408.39</v>
      </c>
      <c r="G8" s="5"/>
      <c r="H8" s="6"/>
    </row>
    <row r="9" spans="1:8" customFormat="1" ht="30.6" customHeight="1" x14ac:dyDescent="0.25">
      <c r="A9" s="7">
        <v>6</v>
      </c>
      <c r="B9" s="8" t="s">
        <v>13</v>
      </c>
      <c r="C9" s="8" t="s">
        <v>14</v>
      </c>
      <c r="D9" s="9">
        <v>45717</v>
      </c>
      <c r="E9" s="9"/>
      <c r="F9" s="13">
        <v>1518</v>
      </c>
      <c r="G9" s="5"/>
      <c r="H9" s="6"/>
    </row>
    <row r="10" spans="1:8" customFormat="1" ht="30.6" customHeight="1" x14ac:dyDescent="0.25">
      <c r="A10" s="7">
        <v>7</v>
      </c>
      <c r="B10" s="8" t="s">
        <v>15</v>
      </c>
      <c r="C10" s="8" t="s">
        <v>16</v>
      </c>
      <c r="D10" s="9">
        <v>45717</v>
      </c>
      <c r="E10" s="9"/>
      <c r="F10" s="13">
        <v>2500</v>
      </c>
      <c r="G10" s="5"/>
      <c r="H10" s="6"/>
    </row>
    <row r="11" spans="1:8" customFormat="1" ht="34.5" customHeight="1" x14ac:dyDescent="0.25">
      <c r="A11" s="7">
        <v>8</v>
      </c>
      <c r="B11" s="14" t="s">
        <v>17</v>
      </c>
      <c r="C11" s="12" t="s">
        <v>18</v>
      </c>
      <c r="D11" s="9">
        <v>45717</v>
      </c>
      <c r="E11" s="9"/>
      <c r="F11" s="13">
        <v>880</v>
      </c>
      <c r="G11" s="5"/>
      <c r="H11" s="6"/>
    </row>
    <row r="12" spans="1:8" customFormat="1" ht="30.6" customHeight="1" x14ac:dyDescent="0.25">
      <c r="A12" s="7">
        <v>9</v>
      </c>
      <c r="B12" s="14" t="s">
        <v>19</v>
      </c>
      <c r="C12" s="14" t="s">
        <v>20</v>
      </c>
      <c r="D12" s="9">
        <v>45717</v>
      </c>
      <c r="E12" s="9"/>
      <c r="F12" s="13">
        <v>65.25</v>
      </c>
      <c r="G12" s="5"/>
      <c r="H12" s="6"/>
    </row>
    <row r="13" spans="1:8" customFormat="1" ht="30.6" customHeight="1" x14ac:dyDescent="0.25">
      <c r="A13" s="7">
        <v>10</v>
      </c>
      <c r="B13" s="14" t="s">
        <v>149</v>
      </c>
      <c r="C13" s="14" t="s">
        <v>150</v>
      </c>
      <c r="D13" s="9">
        <v>45717</v>
      </c>
      <c r="E13" s="9"/>
      <c r="F13" s="13">
        <v>149.9</v>
      </c>
      <c r="G13" s="5"/>
      <c r="H13" s="6"/>
    </row>
    <row r="14" spans="1:8" customFormat="1" ht="30.6" customHeight="1" x14ac:dyDescent="0.25">
      <c r="A14" s="7">
        <v>11</v>
      </c>
      <c r="B14" s="14" t="s">
        <v>21</v>
      </c>
      <c r="C14" s="12" t="s">
        <v>22</v>
      </c>
      <c r="D14" s="9">
        <v>45717</v>
      </c>
      <c r="E14" s="9"/>
      <c r="F14" s="13">
        <f>231</f>
        <v>231</v>
      </c>
      <c r="G14" s="5"/>
      <c r="H14" s="15"/>
    </row>
    <row r="15" spans="1:8" customFormat="1" ht="30.6" customHeight="1" x14ac:dyDescent="0.25">
      <c r="A15" s="7">
        <v>12</v>
      </c>
      <c r="B15" s="14" t="s">
        <v>23</v>
      </c>
      <c r="C15" s="8"/>
      <c r="D15" s="9">
        <v>45717</v>
      </c>
      <c r="E15" s="9"/>
      <c r="F15" s="13"/>
      <c r="G15" s="5"/>
      <c r="H15" s="6"/>
    </row>
    <row r="16" spans="1:8" customFormat="1" ht="31.5" customHeight="1" x14ac:dyDescent="0.25">
      <c r="A16" s="7">
        <v>13</v>
      </c>
      <c r="B16" s="14" t="s">
        <v>24</v>
      </c>
      <c r="C16" s="12" t="s">
        <v>25</v>
      </c>
      <c r="D16" s="9">
        <v>45717</v>
      </c>
      <c r="E16" s="9"/>
      <c r="F16" s="13">
        <v>473.6</v>
      </c>
      <c r="G16" s="5"/>
      <c r="H16" s="6"/>
    </row>
    <row r="17" spans="1:12" customFormat="1" ht="31.5" customHeight="1" x14ac:dyDescent="0.25">
      <c r="A17" s="7">
        <v>14</v>
      </c>
      <c r="B17" s="14" t="s">
        <v>157</v>
      </c>
      <c r="C17" s="12" t="s">
        <v>158</v>
      </c>
      <c r="D17" s="9">
        <v>45717</v>
      </c>
      <c r="E17" s="9"/>
      <c r="F17" s="13">
        <v>73.81</v>
      </c>
      <c r="G17" s="5"/>
      <c r="H17" s="6"/>
    </row>
    <row r="18" spans="1:12" customFormat="1" ht="31.5" customHeight="1" x14ac:dyDescent="0.25">
      <c r="A18" s="7">
        <v>15</v>
      </c>
      <c r="B18" s="14" t="s">
        <v>159</v>
      </c>
      <c r="C18" s="12" t="s">
        <v>160</v>
      </c>
      <c r="D18" s="9">
        <v>45717</v>
      </c>
      <c r="E18" s="9"/>
      <c r="F18" s="13">
        <f>722*2</f>
        <v>1444</v>
      </c>
      <c r="G18" s="5"/>
      <c r="H18" s="6"/>
    </row>
    <row r="19" spans="1:12" customFormat="1" ht="42" customHeight="1" x14ac:dyDescent="0.25">
      <c r="A19" s="48"/>
      <c r="B19" s="49" t="s">
        <v>31</v>
      </c>
      <c r="C19" s="50"/>
      <c r="D19" s="51"/>
      <c r="E19" s="52"/>
      <c r="F19" s="53">
        <f>SUM(F3:F18)</f>
        <v>131800.06699999998</v>
      </c>
      <c r="G19" s="54"/>
      <c r="H19" s="55"/>
    </row>
    <row r="20" spans="1:12" customFormat="1" ht="21.75" customHeight="1" x14ac:dyDescent="0.25">
      <c r="A20" s="16" t="s">
        <v>32</v>
      </c>
      <c r="B20" s="17" t="s">
        <v>33</v>
      </c>
      <c r="C20" s="18" t="s">
        <v>34</v>
      </c>
      <c r="D20" s="16" t="s">
        <v>35</v>
      </c>
      <c r="E20" s="16" t="s">
        <v>36</v>
      </c>
      <c r="F20" s="16" t="s">
        <v>37</v>
      </c>
      <c r="G20" s="19" t="s">
        <v>38</v>
      </c>
      <c r="H20" s="18" t="s">
        <v>39</v>
      </c>
    </row>
    <row r="21" spans="1:12" s="72" customFormat="1" ht="15" customHeight="1" x14ac:dyDescent="0.25">
      <c r="A21" s="65" t="s">
        <v>40</v>
      </c>
      <c r="B21" s="66" t="s">
        <v>41</v>
      </c>
      <c r="C21" s="67" t="s">
        <v>42</v>
      </c>
      <c r="D21" s="68">
        <v>4016</v>
      </c>
      <c r="E21" s="69">
        <f>D21/$D$64</f>
        <v>1.3299610959886176E-2</v>
      </c>
      <c r="F21" s="70">
        <f>$F$19*E21</f>
        <v>1752.889615586932</v>
      </c>
      <c r="G21" s="71">
        <f>F21*5%</f>
        <v>87.644480779346608</v>
      </c>
      <c r="H21" s="71">
        <f t="shared" ref="H21:H63" si="0">F21+G21</f>
        <v>1840.5340963662786</v>
      </c>
    </row>
    <row r="22" spans="1:12" s="74" customFormat="1" x14ac:dyDescent="0.25">
      <c r="A22" s="65" t="s">
        <v>43</v>
      </c>
      <c r="B22" s="73" t="s">
        <v>44</v>
      </c>
      <c r="C22" s="67">
        <v>18778225000139</v>
      </c>
      <c r="D22" s="68">
        <v>8711.2199999999993</v>
      </c>
      <c r="E22" s="69">
        <f t="shared" ref="E22:E63" si="1">D22/$D$64</f>
        <v>2.8848564986548714E-2</v>
      </c>
      <c r="F22" s="70">
        <f t="shared" ref="F22:F63" si="2">$F$19*E22</f>
        <v>3802.2427980809739</v>
      </c>
      <c r="G22" s="71">
        <f t="shared" ref="G22:G63" si="3">F22*5%</f>
        <v>190.11213990404872</v>
      </c>
      <c r="H22" s="71">
        <f t="shared" si="0"/>
        <v>3992.3549379850228</v>
      </c>
    </row>
    <row r="23" spans="1:12" s="74" customFormat="1" x14ac:dyDescent="0.25">
      <c r="A23" s="65" t="s">
        <v>45</v>
      </c>
      <c r="B23" s="73" t="s">
        <v>46</v>
      </c>
      <c r="C23" s="67">
        <v>41993875000119</v>
      </c>
      <c r="D23" s="68">
        <v>3641.8</v>
      </c>
      <c r="E23" s="69">
        <f t="shared" si="1"/>
        <v>1.206038924146252E-2</v>
      </c>
      <c r="F23" s="70">
        <f t="shared" si="2"/>
        <v>1589.5601100708391</v>
      </c>
      <c r="G23" s="71">
        <f t="shared" si="3"/>
        <v>79.478005503541965</v>
      </c>
      <c r="H23" s="71">
        <f t="shared" si="0"/>
        <v>1669.038115574381</v>
      </c>
    </row>
    <row r="24" spans="1:12" s="74" customFormat="1" x14ac:dyDescent="0.25">
      <c r="A24" s="65" t="s">
        <v>47</v>
      </c>
      <c r="B24" s="66" t="s">
        <v>48</v>
      </c>
      <c r="C24" s="67">
        <v>24781302000102</v>
      </c>
      <c r="D24" s="68">
        <v>3430</v>
      </c>
      <c r="E24" s="69">
        <f t="shared" si="1"/>
        <v>1.1358980476197605E-2</v>
      </c>
      <c r="F24" s="70">
        <f t="shared" si="2"/>
        <v>1497.114387814536</v>
      </c>
      <c r="G24" s="71">
        <f t="shared" si="3"/>
        <v>74.855719390726804</v>
      </c>
      <c r="H24" s="71">
        <f t="shared" si="0"/>
        <v>1571.9701072052628</v>
      </c>
    </row>
    <row r="25" spans="1:12" customFormat="1" x14ac:dyDescent="0.25">
      <c r="A25" s="20" t="s">
        <v>161</v>
      </c>
      <c r="B25" s="66" t="s">
        <v>162</v>
      </c>
      <c r="C25" s="22" t="s">
        <v>163</v>
      </c>
      <c r="D25" s="23">
        <v>9403</v>
      </c>
      <c r="E25" s="69">
        <f t="shared" si="1"/>
        <v>3.1139502454135885E-2</v>
      </c>
      <c r="F25" s="70">
        <f t="shared" si="2"/>
        <v>4104.1885098017738</v>
      </c>
      <c r="G25" s="26">
        <f t="shared" si="3"/>
        <v>205.20942549008871</v>
      </c>
      <c r="H25" s="26">
        <f t="shared" si="0"/>
        <v>4309.3979352918623</v>
      </c>
    </row>
    <row r="26" spans="1:12" s="74" customFormat="1" x14ac:dyDescent="0.25">
      <c r="A26" s="65" t="s">
        <v>49</v>
      </c>
      <c r="B26" s="66" t="s">
        <v>50</v>
      </c>
      <c r="C26" s="67">
        <v>38649716000197</v>
      </c>
      <c r="D26" s="68">
        <v>3440</v>
      </c>
      <c r="E26" s="69">
        <f t="shared" si="1"/>
        <v>1.1392097037352699E-2</v>
      </c>
      <c r="F26" s="70">
        <f t="shared" si="2"/>
        <v>1501.479152793587</v>
      </c>
      <c r="G26" s="71">
        <f t="shared" si="3"/>
        <v>75.07395763967935</v>
      </c>
      <c r="H26" s="71">
        <f t="shared" si="0"/>
        <v>1576.5531104332663</v>
      </c>
    </row>
    <row r="27" spans="1:12" s="74" customFormat="1" x14ac:dyDescent="0.25">
      <c r="A27" s="65" t="s">
        <v>51</v>
      </c>
      <c r="B27" s="66" t="s">
        <v>52</v>
      </c>
      <c r="C27" s="67" t="s">
        <v>53</v>
      </c>
      <c r="D27" s="68">
        <v>4056</v>
      </c>
      <c r="E27" s="69">
        <f t="shared" si="1"/>
        <v>1.3432077204506556E-2</v>
      </c>
      <c r="F27" s="70">
        <f t="shared" si="2"/>
        <v>1770.3486755031365</v>
      </c>
      <c r="G27" s="71">
        <f t="shared" si="3"/>
        <v>88.517433775156832</v>
      </c>
      <c r="H27" s="71">
        <f t="shared" si="0"/>
        <v>1858.8661092782934</v>
      </c>
    </row>
    <row r="28" spans="1:12" s="74" customFormat="1" x14ac:dyDescent="0.25">
      <c r="A28" s="65" t="s">
        <v>54</v>
      </c>
      <c r="B28" s="66" t="s">
        <v>55</v>
      </c>
      <c r="C28" s="67" t="s">
        <v>56</v>
      </c>
      <c r="D28" s="68">
        <v>11580</v>
      </c>
      <c r="E28" s="69">
        <f t="shared" si="1"/>
        <v>3.8348977817600077E-2</v>
      </c>
      <c r="F28" s="70">
        <f t="shared" si="2"/>
        <v>5054.3978457412031</v>
      </c>
      <c r="G28" s="71">
        <f t="shared" si="3"/>
        <v>252.71989228706016</v>
      </c>
      <c r="H28" s="71">
        <f t="shared" si="0"/>
        <v>5307.1177380282634</v>
      </c>
    </row>
    <row r="29" spans="1:12" s="74" customFormat="1" x14ac:dyDescent="0.25">
      <c r="A29" s="65" t="s">
        <v>57</v>
      </c>
      <c r="B29" s="66" t="s">
        <v>58</v>
      </c>
      <c r="C29" s="67" t="s">
        <v>59</v>
      </c>
      <c r="D29" s="68">
        <f>360+360+1510</f>
        <v>2230</v>
      </c>
      <c r="E29" s="69">
        <f t="shared" si="1"/>
        <v>7.3849931375861979E-3</v>
      </c>
      <c r="F29" s="70">
        <f t="shared" si="2"/>
        <v>973.342590328401</v>
      </c>
      <c r="G29" s="71">
        <f t="shared" si="3"/>
        <v>48.667129516420054</v>
      </c>
      <c r="H29" s="71">
        <f t="shared" si="0"/>
        <v>1022.009719844821</v>
      </c>
    </row>
    <row r="30" spans="1:12" s="79" customFormat="1" ht="15.75" customHeight="1" x14ac:dyDescent="0.25">
      <c r="A30" s="65" t="s">
        <v>60</v>
      </c>
      <c r="B30" s="75" t="s">
        <v>61</v>
      </c>
      <c r="C30" s="76" t="s">
        <v>62</v>
      </c>
      <c r="D30" s="68">
        <f>5224+3930</f>
        <v>9154</v>
      </c>
      <c r="E30" s="69">
        <f t="shared" si="1"/>
        <v>3.0314900081374017E-2</v>
      </c>
      <c r="F30" s="70">
        <f t="shared" si="2"/>
        <v>3995.5058618234002</v>
      </c>
      <c r="G30" s="71">
        <f t="shared" si="3"/>
        <v>199.77529309117003</v>
      </c>
      <c r="H30" s="77">
        <f t="shared" si="0"/>
        <v>4195.2811549145699</v>
      </c>
      <c r="I30" s="78" t="s">
        <v>63</v>
      </c>
      <c r="L30" s="79" t="s">
        <v>64</v>
      </c>
    </row>
    <row r="31" spans="1:12" s="74" customFormat="1" ht="15.75" customHeight="1" x14ac:dyDescent="0.25">
      <c r="A31" s="65" t="s">
        <v>65</v>
      </c>
      <c r="B31" s="73" t="s">
        <v>66</v>
      </c>
      <c r="C31" s="67" t="s">
        <v>67</v>
      </c>
      <c r="D31" s="68">
        <v>2610</v>
      </c>
      <c r="E31" s="69">
        <f t="shared" si="1"/>
        <v>8.6434224614798105E-3</v>
      </c>
      <c r="F31" s="70">
        <f t="shared" si="2"/>
        <v>1139.2036595323439</v>
      </c>
      <c r="G31" s="71">
        <f t="shared" si="3"/>
        <v>56.960182976617197</v>
      </c>
      <c r="H31" s="71">
        <f t="shared" si="0"/>
        <v>1196.1638425089611</v>
      </c>
    </row>
    <row r="32" spans="1:12" s="74" customFormat="1" ht="15.75" customHeight="1" x14ac:dyDescent="0.25">
      <c r="A32" s="65" t="s">
        <v>68</v>
      </c>
      <c r="B32" s="73" t="s">
        <v>69</v>
      </c>
      <c r="C32" s="67" t="s">
        <v>70</v>
      </c>
      <c r="D32" s="68">
        <v>5515</v>
      </c>
      <c r="E32" s="69">
        <f t="shared" si="1"/>
        <v>1.8263783477034924E-2</v>
      </c>
      <c r="F32" s="70">
        <f t="shared" si="2"/>
        <v>2407.1678859466956</v>
      </c>
      <c r="G32" s="71">
        <f t="shared" si="3"/>
        <v>120.35839429733478</v>
      </c>
      <c r="H32" s="71">
        <f t="shared" si="0"/>
        <v>2527.5262802440302</v>
      </c>
    </row>
    <row r="33" spans="1:12" s="74" customFormat="1" ht="15.75" customHeight="1" x14ac:dyDescent="0.25">
      <c r="A33" s="65" t="s">
        <v>71</v>
      </c>
      <c r="B33" s="66" t="s">
        <v>72</v>
      </c>
      <c r="C33" s="67">
        <v>17202383000183</v>
      </c>
      <c r="D33" s="68">
        <v>15332</v>
      </c>
      <c r="E33" s="69">
        <f t="shared" si="1"/>
        <v>5.0774311562991746E-2</v>
      </c>
      <c r="F33" s="70">
        <f t="shared" si="2"/>
        <v>6692.057665881186</v>
      </c>
      <c r="G33" s="71">
        <f t="shared" si="3"/>
        <v>334.60288329405932</v>
      </c>
      <c r="H33" s="71">
        <f t="shared" si="0"/>
        <v>7026.6605491752453</v>
      </c>
    </row>
    <row r="34" spans="1:12" s="74" customFormat="1" ht="15.75" customHeight="1" x14ac:dyDescent="0.25">
      <c r="A34" s="65" t="s">
        <v>73</v>
      </c>
      <c r="B34" s="66" t="s">
        <v>74</v>
      </c>
      <c r="C34" s="67">
        <v>18183488000103</v>
      </c>
      <c r="D34" s="68">
        <v>7238</v>
      </c>
      <c r="E34" s="69">
        <f t="shared" si="1"/>
        <v>2.3969766964057802E-2</v>
      </c>
      <c r="F34" s="70">
        <f t="shared" si="2"/>
        <v>3159.2168918372045</v>
      </c>
      <c r="G34" s="71">
        <f t="shared" si="3"/>
        <v>157.96084459186022</v>
      </c>
      <c r="H34" s="71">
        <f t="shared" si="0"/>
        <v>3317.1777364290647</v>
      </c>
    </row>
    <row r="35" spans="1:12" s="74" customFormat="1" x14ac:dyDescent="0.25">
      <c r="A35" s="65" t="s">
        <v>75</v>
      </c>
      <c r="B35" s="66" t="s">
        <v>76</v>
      </c>
      <c r="C35" s="67">
        <v>18244070000150</v>
      </c>
      <c r="D35" s="68">
        <v>5941</v>
      </c>
      <c r="E35" s="69">
        <f t="shared" si="1"/>
        <v>1.9674548982241975E-2</v>
      </c>
      <c r="F35" s="70">
        <f t="shared" si="2"/>
        <v>2593.1068740542737</v>
      </c>
      <c r="G35" s="71">
        <f t="shared" si="3"/>
        <v>129.65534370271368</v>
      </c>
      <c r="H35" s="71">
        <f t="shared" si="0"/>
        <v>2722.7622177569874</v>
      </c>
    </row>
    <row r="36" spans="1:12" s="74" customFormat="1" x14ac:dyDescent="0.25">
      <c r="A36" s="65" t="s">
        <v>77</v>
      </c>
      <c r="B36" s="66" t="s">
        <v>78</v>
      </c>
      <c r="C36" s="67">
        <v>18244039000110</v>
      </c>
      <c r="D36" s="68">
        <v>4460</v>
      </c>
      <c r="E36" s="69">
        <f t="shared" si="1"/>
        <v>1.4769986275172396E-2</v>
      </c>
      <c r="F36" s="70">
        <f t="shared" si="2"/>
        <v>1946.685180656802</v>
      </c>
      <c r="G36" s="71">
        <f t="shared" si="3"/>
        <v>97.334259032840109</v>
      </c>
      <c r="H36" s="71">
        <f t="shared" si="0"/>
        <v>2044.019439689642</v>
      </c>
    </row>
    <row r="37" spans="1:12" s="74" customFormat="1" x14ac:dyDescent="0.25">
      <c r="A37" s="65" t="s">
        <v>79</v>
      </c>
      <c r="B37" s="66" t="s">
        <v>153</v>
      </c>
      <c r="C37" s="67" t="s">
        <v>154</v>
      </c>
      <c r="D37" s="68">
        <v>4415</v>
      </c>
      <c r="E37" s="69">
        <f t="shared" si="1"/>
        <v>1.4620961749974468E-2</v>
      </c>
      <c r="F37" s="70">
        <f t="shared" si="2"/>
        <v>1927.0437382510718</v>
      </c>
      <c r="G37" s="71">
        <f t="shared" si="3"/>
        <v>96.352186912553591</v>
      </c>
      <c r="H37" s="71">
        <f t="shared" si="0"/>
        <v>2023.3959251636254</v>
      </c>
    </row>
    <row r="38" spans="1:12" s="74" customFormat="1" ht="14.25" customHeight="1" x14ac:dyDescent="0.25">
      <c r="A38" s="65" t="s">
        <v>81</v>
      </c>
      <c r="B38" s="66" t="s">
        <v>217</v>
      </c>
      <c r="C38" s="67"/>
      <c r="D38" s="68">
        <v>4760</v>
      </c>
      <c r="E38" s="69">
        <f t="shared" si="1"/>
        <v>1.5763483109825248E-2</v>
      </c>
      <c r="F38" s="70">
        <f t="shared" si="2"/>
        <v>2077.6281300283358</v>
      </c>
      <c r="G38" s="71">
        <f t="shared" si="3"/>
        <v>103.88140650141679</v>
      </c>
      <c r="H38" s="71">
        <f t="shared" si="0"/>
        <v>2181.5095365297525</v>
      </c>
    </row>
    <row r="39" spans="1:12" s="74" customFormat="1" x14ac:dyDescent="0.25">
      <c r="A39" s="65" t="s">
        <v>81</v>
      </c>
      <c r="B39" s="66" t="s">
        <v>82</v>
      </c>
      <c r="C39" s="67" t="s">
        <v>83</v>
      </c>
      <c r="D39" s="68">
        <v>8673</v>
      </c>
      <c r="E39" s="69">
        <f t="shared" si="1"/>
        <v>2.8721993489813944E-2</v>
      </c>
      <c r="F39" s="70">
        <f t="shared" si="2"/>
        <v>3785.5606663310409</v>
      </c>
      <c r="G39" s="71">
        <f t="shared" si="3"/>
        <v>189.27803331655207</v>
      </c>
      <c r="H39" s="71">
        <f t="shared" si="0"/>
        <v>3974.8386996475929</v>
      </c>
    </row>
    <row r="40" spans="1:12" s="74" customFormat="1" x14ac:dyDescent="0.25">
      <c r="A40" s="65" t="s">
        <v>84</v>
      </c>
      <c r="B40" s="66" t="s">
        <v>155</v>
      </c>
      <c r="C40" s="67" t="s">
        <v>86</v>
      </c>
      <c r="D40" s="68">
        <v>9239</v>
      </c>
      <c r="E40" s="69">
        <f t="shared" si="1"/>
        <v>3.0596390851192326E-2</v>
      </c>
      <c r="F40" s="70">
        <f t="shared" si="2"/>
        <v>4032.6063641453352</v>
      </c>
      <c r="G40" s="71">
        <f t="shared" si="3"/>
        <v>201.63031820726678</v>
      </c>
      <c r="H40" s="71">
        <f t="shared" si="0"/>
        <v>4234.2366823526017</v>
      </c>
    </row>
    <row r="41" spans="1:12" s="74" customFormat="1" x14ac:dyDescent="0.25">
      <c r="A41" s="65" t="s">
        <v>87</v>
      </c>
      <c r="B41" s="66" t="s">
        <v>88</v>
      </c>
      <c r="C41" s="67" t="s">
        <v>89</v>
      </c>
      <c r="D41" s="68">
        <v>4892</v>
      </c>
      <c r="E41" s="69">
        <f t="shared" si="1"/>
        <v>1.6200621717072504E-2</v>
      </c>
      <c r="F41" s="70">
        <f t="shared" si="2"/>
        <v>2135.2430277518106</v>
      </c>
      <c r="G41" s="71">
        <f t="shared" si="3"/>
        <v>106.76215138759054</v>
      </c>
      <c r="H41" s="71">
        <f t="shared" si="0"/>
        <v>2242.0051791394012</v>
      </c>
    </row>
    <row r="42" spans="1:12" s="74" customFormat="1" x14ac:dyDescent="0.25">
      <c r="A42" s="65" t="s">
        <v>90</v>
      </c>
      <c r="B42" s="66" t="s">
        <v>91</v>
      </c>
      <c r="C42" s="67">
        <v>41497649000147</v>
      </c>
      <c r="D42" s="68">
        <v>2526</v>
      </c>
      <c r="E42" s="69">
        <f t="shared" si="1"/>
        <v>8.3652433477770117E-3</v>
      </c>
      <c r="F42" s="70">
        <f t="shared" si="2"/>
        <v>1102.5396337083143</v>
      </c>
      <c r="G42" s="71">
        <f t="shared" si="3"/>
        <v>55.126981685415721</v>
      </c>
      <c r="H42" s="71">
        <f t="shared" si="0"/>
        <v>1157.6666153937301</v>
      </c>
    </row>
    <row r="43" spans="1:12" s="74" customFormat="1" x14ac:dyDescent="0.25">
      <c r="A43" s="65" t="s">
        <v>92</v>
      </c>
      <c r="B43" s="66" t="s">
        <v>93</v>
      </c>
      <c r="C43" s="67">
        <v>40580071000125</v>
      </c>
      <c r="D43" s="68">
        <v>3600</v>
      </c>
      <c r="E43" s="69">
        <f t="shared" si="1"/>
        <v>1.1921962015834221E-2</v>
      </c>
      <c r="F43" s="70">
        <f t="shared" si="2"/>
        <v>1571.3153924584051</v>
      </c>
      <c r="G43" s="71">
        <f t="shared" si="3"/>
        <v>78.565769622920257</v>
      </c>
      <c r="H43" s="71">
        <f t="shared" si="0"/>
        <v>1649.8811620813253</v>
      </c>
      <c r="I43" s="78" t="s">
        <v>63</v>
      </c>
      <c r="L43" s="74" t="s">
        <v>94</v>
      </c>
    </row>
    <row r="44" spans="1:12" s="74" customFormat="1" x14ac:dyDescent="0.25">
      <c r="A44" s="65" t="s">
        <v>95</v>
      </c>
      <c r="B44" s="66" t="s">
        <v>96</v>
      </c>
      <c r="C44" s="67" t="s">
        <v>97</v>
      </c>
      <c r="D44" s="68">
        <v>3938</v>
      </c>
      <c r="E44" s="69">
        <f t="shared" si="1"/>
        <v>1.3041301782876434E-2</v>
      </c>
      <c r="F44" s="70">
        <f t="shared" si="2"/>
        <v>1718.8444487503332</v>
      </c>
      <c r="G44" s="71">
        <f t="shared" si="3"/>
        <v>85.942222437516662</v>
      </c>
      <c r="H44" s="71">
        <f t="shared" si="0"/>
        <v>1804.7866711878498</v>
      </c>
    </row>
    <row r="45" spans="1:12" s="74" customFormat="1" x14ac:dyDescent="0.25">
      <c r="A45" s="65" t="s">
        <v>98</v>
      </c>
      <c r="B45" s="66" t="s">
        <v>99</v>
      </c>
      <c r="C45" s="67">
        <v>18788190000119</v>
      </c>
      <c r="D45" s="68">
        <v>3707</v>
      </c>
      <c r="E45" s="69">
        <f t="shared" si="1"/>
        <v>1.2276309220193739E-2</v>
      </c>
      <c r="F45" s="70">
        <f t="shared" si="2"/>
        <v>1618.0183777342522</v>
      </c>
      <c r="G45" s="71">
        <f t="shared" si="3"/>
        <v>80.900918886712617</v>
      </c>
      <c r="H45" s="71">
        <f t="shared" si="0"/>
        <v>1698.9192966209648</v>
      </c>
    </row>
    <row r="46" spans="1:12" s="74" customFormat="1" x14ac:dyDescent="0.25">
      <c r="A46" s="65" t="s">
        <v>100</v>
      </c>
      <c r="B46" s="66" t="s">
        <v>101</v>
      </c>
      <c r="C46" s="67">
        <v>42109766000159</v>
      </c>
      <c r="D46" s="68">
        <v>5117</v>
      </c>
      <c r="E46" s="69">
        <f t="shared" si="1"/>
        <v>1.694574434306214E-2</v>
      </c>
      <c r="F46" s="70">
        <f t="shared" si="2"/>
        <v>2233.4502397804608</v>
      </c>
      <c r="G46" s="71">
        <f t="shared" si="3"/>
        <v>111.67251198902305</v>
      </c>
      <c r="H46" s="71">
        <f t="shared" si="0"/>
        <v>2345.1227517694838</v>
      </c>
    </row>
    <row r="47" spans="1:12" s="74" customFormat="1" x14ac:dyDescent="0.25">
      <c r="A47" s="65" t="s">
        <v>102</v>
      </c>
      <c r="B47" s="66" t="s">
        <v>99</v>
      </c>
      <c r="C47" s="67">
        <v>18788190000119</v>
      </c>
      <c r="D47" s="68">
        <v>14717</v>
      </c>
      <c r="E47" s="69">
        <f t="shared" si="1"/>
        <v>4.8737643051953397E-2</v>
      </c>
      <c r="F47" s="70">
        <f t="shared" si="2"/>
        <v>6423.6246196695411</v>
      </c>
      <c r="G47" s="71">
        <f t="shared" si="3"/>
        <v>321.18123098347706</v>
      </c>
      <c r="H47" s="71">
        <f t="shared" si="0"/>
        <v>6744.8058506530178</v>
      </c>
    </row>
    <row r="48" spans="1:12" s="74" customFormat="1" ht="13.5" customHeight="1" x14ac:dyDescent="0.25">
      <c r="A48" s="65" t="s">
        <v>103</v>
      </c>
      <c r="B48" s="66" t="s">
        <v>104</v>
      </c>
      <c r="C48" s="67">
        <v>32302613000170</v>
      </c>
      <c r="D48" s="68">
        <v>5439</v>
      </c>
      <c r="E48" s="69">
        <f t="shared" si="1"/>
        <v>1.8012097612256202E-2</v>
      </c>
      <c r="F48" s="70">
        <f t="shared" si="2"/>
        <v>2373.995672105907</v>
      </c>
      <c r="G48" s="71">
        <f t="shared" si="3"/>
        <v>118.69978360529535</v>
      </c>
      <c r="H48" s="71">
        <f t="shared" si="0"/>
        <v>2492.6954557112022</v>
      </c>
    </row>
    <row r="49" spans="1:8" s="74" customFormat="1" x14ac:dyDescent="0.25">
      <c r="A49" s="65" t="s">
        <v>105</v>
      </c>
      <c r="B49" s="66" t="s">
        <v>106</v>
      </c>
      <c r="C49" s="67">
        <v>28616552000148</v>
      </c>
      <c r="D49" s="68">
        <v>4123.71</v>
      </c>
      <c r="E49" s="69">
        <f t="shared" si="1"/>
        <v>1.3656309440087704E-2</v>
      </c>
      <c r="F49" s="70">
        <f t="shared" si="2"/>
        <v>1799.9024991762917</v>
      </c>
      <c r="G49" s="71">
        <f t="shared" si="3"/>
        <v>89.995124958814586</v>
      </c>
      <c r="H49" s="71">
        <f t="shared" si="0"/>
        <v>1889.8976241351063</v>
      </c>
    </row>
    <row r="50" spans="1:8" s="74" customFormat="1" x14ac:dyDescent="0.25">
      <c r="A50" s="65" t="s">
        <v>107</v>
      </c>
      <c r="B50" s="66" t="s">
        <v>108</v>
      </c>
      <c r="C50" s="67">
        <v>42579914000107</v>
      </c>
      <c r="D50" s="68">
        <v>4986.3599999999997</v>
      </c>
      <c r="E50" s="69">
        <f t="shared" si="1"/>
        <v>1.6513109588131979E-2</v>
      </c>
      <c r="F50" s="70">
        <f t="shared" si="2"/>
        <v>2176.4289500941368</v>
      </c>
      <c r="G50" s="71">
        <f t="shared" si="3"/>
        <v>108.82144750470684</v>
      </c>
      <c r="H50" s="71">
        <f t="shared" si="0"/>
        <v>2285.2503975988438</v>
      </c>
    </row>
    <row r="51" spans="1:8" s="74" customFormat="1" x14ac:dyDescent="0.25">
      <c r="A51" s="65" t="s">
        <v>109</v>
      </c>
      <c r="B51" s="66" t="s">
        <v>110</v>
      </c>
      <c r="C51" s="67" t="s">
        <v>111</v>
      </c>
      <c r="D51" s="68">
        <v>7462</v>
      </c>
      <c r="E51" s="69">
        <f t="shared" si="1"/>
        <v>2.4711577933931934E-2</v>
      </c>
      <c r="F51" s="70">
        <f t="shared" si="2"/>
        <v>3256.9876273679502</v>
      </c>
      <c r="G51" s="71">
        <f t="shared" si="3"/>
        <v>162.84938136839753</v>
      </c>
      <c r="H51" s="71">
        <f t="shared" si="0"/>
        <v>3419.8370087363478</v>
      </c>
    </row>
    <row r="52" spans="1:8" s="74" customFormat="1" x14ac:dyDescent="0.25">
      <c r="A52" s="65" t="s">
        <v>112</v>
      </c>
      <c r="B52" s="66" t="s">
        <v>113</v>
      </c>
      <c r="C52" s="67" t="s">
        <v>114</v>
      </c>
      <c r="D52" s="68">
        <v>5525</v>
      </c>
      <c r="E52" s="69">
        <f t="shared" si="1"/>
        <v>1.8296900038190018E-2</v>
      </c>
      <c r="F52" s="70">
        <f t="shared" si="2"/>
        <v>2411.5326509257466</v>
      </c>
      <c r="G52" s="71">
        <f t="shared" si="3"/>
        <v>120.57663254628733</v>
      </c>
      <c r="H52" s="71">
        <f t="shared" si="0"/>
        <v>2532.1092834720339</v>
      </c>
    </row>
    <row r="53" spans="1:8" s="74" customFormat="1" x14ac:dyDescent="0.25">
      <c r="A53" s="65" t="s">
        <v>115</v>
      </c>
      <c r="B53" s="66" t="s">
        <v>116</v>
      </c>
      <c r="C53" s="67">
        <v>26480299000112</v>
      </c>
      <c r="D53" s="68"/>
      <c r="E53" s="69">
        <f t="shared" si="1"/>
        <v>0</v>
      </c>
      <c r="F53" s="70">
        <f t="shared" si="2"/>
        <v>0</v>
      </c>
      <c r="G53" s="71">
        <f t="shared" si="3"/>
        <v>0</v>
      </c>
      <c r="H53" s="71">
        <f t="shared" si="0"/>
        <v>0</v>
      </c>
    </row>
    <row r="54" spans="1:8" s="74" customFormat="1" x14ac:dyDescent="0.25">
      <c r="A54" s="65" t="s">
        <v>117</v>
      </c>
      <c r="B54" s="66" t="s">
        <v>118</v>
      </c>
      <c r="C54" s="67" t="s">
        <v>119</v>
      </c>
      <c r="D54" s="68">
        <v>4943</v>
      </c>
      <c r="E54" s="69">
        <f t="shared" si="1"/>
        <v>1.6369516178963487E-2</v>
      </c>
      <c r="F54" s="70">
        <f t="shared" si="2"/>
        <v>2157.5033291449713</v>
      </c>
      <c r="G54" s="71">
        <f t="shared" si="3"/>
        <v>107.87516645724857</v>
      </c>
      <c r="H54" s="71">
        <f t="shared" si="0"/>
        <v>2265.37849560222</v>
      </c>
    </row>
    <row r="55" spans="1:8" s="74" customFormat="1" x14ac:dyDescent="0.25">
      <c r="A55" s="65" t="s">
        <v>120</v>
      </c>
      <c r="B55" s="66" t="s">
        <v>121</v>
      </c>
      <c r="C55" s="67">
        <v>12997366000166</v>
      </c>
      <c r="D55" s="68">
        <v>5160</v>
      </c>
      <c r="E55" s="69">
        <f t="shared" si="1"/>
        <v>1.7088145556029052E-2</v>
      </c>
      <c r="F55" s="70">
        <f t="shared" si="2"/>
        <v>2252.2187291903811</v>
      </c>
      <c r="G55" s="71">
        <f t="shared" si="3"/>
        <v>112.61093645951905</v>
      </c>
      <c r="H55" s="71">
        <f t="shared" si="0"/>
        <v>2364.8296656499001</v>
      </c>
    </row>
    <row r="56" spans="1:8" s="74" customFormat="1" ht="16.5" customHeight="1" x14ac:dyDescent="0.25">
      <c r="A56" s="65" t="s">
        <v>122</v>
      </c>
      <c r="B56" s="66" t="s">
        <v>123</v>
      </c>
      <c r="C56" s="67" t="s">
        <v>124</v>
      </c>
      <c r="D56" s="68">
        <v>6586</v>
      </c>
      <c r="E56" s="69">
        <f t="shared" si="1"/>
        <v>2.1810567176745607E-2</v>
      </c>
      <c r="F56" s="70">
        <f t="shared" si="2"/>
        <v>2874.6342152030716</v>
      </c>
      <c r="G56" s="71">
        <f t="shared" si="3"/>
        <v>143.73171076015359</v>
      </c>
      <c r="H56" s="71">
        <f t="shared" si="0"/>
        <v>3018.365925963225</v>
      </c>
    </row>
    <row r="57" spans="1:8" s="74" customFormat="1" x14ac:dyDescent="0.25">
      <c r="A57" s="65" t="s">
        <v>125</v>
      </c>
      <c r="B57" s="66" t="s">
        <v>126</v>
      </c>
      <c r="C57" s="67">
        <v>11884518000151</v>
      </c>
      <c r="D57" s="68">
        <v>5644</v>
      </c>
      <c r="E57" s="69">
        <f t="shared" si="1"/>
        <v>1.8690987115935653E-2</v>
      </c>
      <c r="F57" s="70">
        <f t="shared" si="2"/>
        <v>2463.4733541764554</v>
      </c>
      <c r="G57" s="71">
        <f t="shared" si="3"/>
        <v>123.17366770882278</v>
      </c>
      <c r="H57" s="71">
        <f t="shared" si="0"/>
        <v>2586.6470218852783</v>
      </c>
    </row>
    <row r="58" spans="1:8" s="74" customFormat="1" x14ac:dyDescent="0.25">
      <c r="A58" s="65" t="s">
        <v>127</v>
      </c>
      <c r="B58" s="66" t="s">
        <v>128</v>
      </c>
      <c r="C58" s="67">
        <v>36188051000136</v>
      </c>
      <c r="D58" s="68">
        <v>6936</v>
      </c>
      <c r="E58" s="69">
        <f t="shared" si="1"/>
        <v>2.2969646817173933E-2</v>
      </c>
      <c r="F58" s="70">
        <f t="shared" si="2"/>
        <v>3027.4009894698606</v>
      </c>
      <c r="G58" s="71">
        <f t="shared" si="3"/>
        <v>151.37004947349303</v>
      </c>
      <c r="H58" s="71">
        <f t="shared" si="0"/>
        <v>3178.7710389433537</v>
      </c>
    </row>
    <row r="59" spans="1:8" s="74" customFormat="1" x14ac:dyDescent="0.25">
      <c r="A59" s="65" t="s">
        <v>129</v>
      </c>
      <c r="B59" s="66" t="s">
        <v>130</v>
      </c>
      <c r="C59" s="67" t="s">
        <v>131</v>
      </c>
      <c r="D59" s="68">
        <f>7425*40%</f>
        <v>2970</v>
      </c>
      <c r="E59" s="69">
        <f t="shared" si="1"/>
        <v>9.8356186630632319E-3</v>
      </c>
      <c r="F59" s="70">
        <f t="shared" si="2"/>
        <v>1296.3351987781841</v>
      </c>
      <c r="G59" s="71">
        <f t="shared" si="3"/>
        <v>64.816759938909215</v>
      </c>
      <c r="H59" s="71">
        <f t="shared" si="0"/>
        <v>1361.1519587170933</v>
      </c>
    </row>
    <row r="60" spans="1:8" s="74" customFormat="1" x14ac:dyDescent="0.25">
      <c r="A60" s="65" t="s">
        <v>132</v>
      </c>
      <c r="B60" s="66" t="s">
        <v>133</v>
      </c>
      <c r="C60" s="67">
        <v>18741082000190</v>
      </c>
      <c r="D60" s="68">
        <v>12183</v>
      </c>
      <c r="E60" s="69">
        <f t="shared" si="1"/>
        <v>4.0345906455252309E-2</v>
      </c>
      <c r="F60" s="70">
        <f t="shared" si="2"/>
        <v>5317.5931739779862</v>
      </c>
      <c r="G60" s="71">
        <f t="shared" si="3"/>
        <v>265.87965869889933</v>
      </c>
      <c r="H60" s="71">
        <f t="shared" si="0"/>
        <v>5583.4728326768854</v>
      </c>
    </row>
    <row r="61" spans="1:8" s="74" customFormat="1" x14ac:dyDescent="0.25">
      <c r="A61" s="65" t="s">
        <v>134</v>
      </c>
      <c r="B61" s="66" t="s">
        <v>135</v>
      </c>
      <c r="C61" s="67" t="s">
        <v>136</v>
      </c>
      <c r="D61" s="68">
        <v>4814</v>
      </c>
      <c r="E61" s="69">
        <f t="shared" si="1"/>
        <v>1.5942312540062762E-2</v>
      </c>
      <c r="F61" s="70">
        <f t="shared" si="2"/>
        <v>2101.197860915212</v>
      </c>
      <c r="G61" s="71">
        <f t="shared" si="3"/>
        <v>105.0598930457606</v>
      </c>
      <c r="H61" s="71">
        <f t="shared" si="0"/>
        <v>2206.2577539609724</v>
      </c>
    </row>
    <row r="62" spans="1:8" s="74" customFormat="1" x14ac:dyDescent="0.25">
      <c r="A62" s="65" t="s">
        <v>137</v>
      </c>
      <c r="B62" s="66" t="s">
        <v>138</v>
      </c>
      <c r="C62" s="67" t="s">
        <v>139</v>
      </c>
      <c r="D62" s="68">
        <v>3476.86</v>
      </c>
      <c r="E62" s="69">
        <f t="shared" si="1"/>
        <v>1.1514164681770382E-2</v>
      </c>
      <c r="F62" s="70">
        <f t="shared" si="2"/>
        <v>1517.5676765063697</v>
      </c>
      <c r="G62" s="71">
        <f t="shared" si="3"/>
        <v>75.878383825318494</v>
      </c>
      <c r="H62" s="71">
        <f t="shared" si="0"/>
        <v>1593.4460603316882</v>
      </c>
    </row>
    <row r="63" spans="1:8" s="74" customFormat="1" x14ac:dyDescent="0.25">
      <c r="A63" s="65" t="s">
        <v>140</v>
      </c>
      <c r="B63" s="73" t="s">
        <v>141</v>
      </c>
      <c r="C63" s="67">
        <v>11884518000151</v>
      </c>
      <c r="D63" s="68">
        <f>81377.44-14717-3314-9239+11302+4126.33-9403-4760</f>
        <v>55372.770000000004</v>
      </c>
      <c r="E63" s="69">
        <f t="shared" si="1"/>
        <v>0.18337557240320132</v>
      </c>
      <c r="F63" s="70">
        <f t="shared" si="2"/>
        <v>24168.912728905281</v>
      </c>
      <c r="G63" s="71">
        <f t="shared" si="3"/>
        <v>1208.4456364452642</v>
      </c>
      <c r="H63" s="71">
        <f t="shared" si="0"/>
        <v>25377.358365350545</v>
      </c>
    </row>
    <row r="64" spans="1:8" customFormat="1" x14ac:dyDescent="0.25">
      <c r="A64" s="34"/>
      <c r="B64" s="35"/>
      <c r="C64" s="36" t="s">
        <v>142</v>
      </c>
      <c r="D64" s="37">
        <f>SUM(D21:D63)</f>
        <v>301963.71999999997</v>
      </c>
      <c r="E64" s="38">
        <f>SUM(E21:E63)</f>
        <v>1</v>
      </c>
      <c r="F64" s="39">
        <f>SUM(F21:F63)</f>
        <v>131800.06700000001</v>
      </c>
      <c r="G64" s="39">
        <f>SUM(G21:G63)</f>
        <v>6590.0033500000009</v>
      </c>
      <c r="H64" s="40">
        <f>SUM(H21:H63)</f>
        <v>138390.07034999997</v>
      </c>
    </row>
    <row r="65" spans="4:8" customFormat="1" x14ac:dyDescent="0.25">
      <c r="F65" s="41"/>
    </row>
    <row r="66" spans="4:8" customFormat="1" x14ac:dyDescent="0.25">
      <c r="F66" s="41"/>
    </row>
    <row r="67" spans="4:8" customFormat="1" x14ac:dyDescent="0.25">
      <c r="D67" s="44"/>
      <c r="E67" s="41"/>
      <c r="H67" s="42"/>
    </row>
    <row r="68" spans="4:8" customFormat="1" x14ac:dyDescent="0.25">
      <c r="E68" s="41"/>
    </row>
    <row r="69" spans="4:8" customFormat="1" x14ac:dyDescent="0.25"/>
    <row r="70" spans="4:8" customFormat="1" x14ac:dyDescent="0.25"/>
    <row r="71" spans="4:8" customFormat="1" x14ac:dyDescent="0.25"/>
    <row r="72" spans="4:8" customFormat="1" x14ac:dyDescent="0.25"/>
    <row r="73" spans="4:8" customFormat="1" x14ac:dyDescent="0.25"/>
    <row r="74" spans="4:8" customFormat="1" x14ac:dyDescent="0.25"/>
    <row r="75" spans="4:8" customFormat="1" x14ac:dyDescent="0.25"/>
    <row r="76" spans="4:8" customFormat="1" x14ac:dyDescent="0.25"/>
    <row r="77" spans="4:8" customFormat="1" x14ac:dyDescent="0.25"/>
    <row r="78" spans="4:8" customFormat="1" x14ac:dyDescent="0.25"/>
    <row r="79" spans="4:8" customFormat="1" x14ac:dyDescent="0.25"/>
    <row r="80" spans="4:8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spans="1:8" customFormat="1" x14ac:dyDescent="0.25"/>
    <row r="146" spans="1:8" customFormat="1" x14ac:dyDescent="0.25"/>
    <row r="147" spans="1:8" customFormat="1" x14ac:dyDescent="0.25"/>
    <row r="148" spans="1:8" customFormat="1" x14ac:dyDescent="0.25">
      <c r="A148" s="45"/>
      <c r="B148" s="45"/>
      <c r="C148" s="45"/>
      <c r="D148" s="45"/>
      <c r="E148" s="45"/>
    </row>
    <row r="149" spans="1:8" x14ac:dyDescent="0.25">
      <c r="F149"/>
      <c r="G149"/>
      <c r="H149"/>
    </row>
    <row r="150" spans="1:8" x14ac:dyDescent="0.25">
      <c r="F150"/>
      <c r="G150"/>
      <c r="H150"/>
    </row>
    <row r="151" spans="1:8" x14ac:dyDescent="0.25">
      <c r="F151"/>
      <c r="G151"/>
      <c r="H151"/>
    </row>
    <row r="152" spans="1:8" x14ac:dyDescent="0.25">
      <c r="F152"/>
      <c r="G152"/>
      <c r="H152"/>
    </row>
    <row r="153" spans="1:8" x14ac:dyDescent="0.25">
      <c r="F153"/>
      <c r="G153"/>
      <c r="H153"/>
    </row>
    <row r="154" spans="1:8" x14ac:dyDescent="0.25">
      <c r="F154"/>
      <c r="G154"/>
      <c r="H154"/>
    </row>
    <row r="155" spans="1:8" x14ac:dyDescent="0.25">
      <c r="F155"/>
      <c r="G155"/>
      <c r="H155"/>
    </row>
    <row r="156" spans="1:8" x14ac:dyDescent="0.25">
      <c r="F156"/>
      <c r="G156"/>
      <c r="H156"/>
    </row>
    <row r="157" spans="1:8" x14ac:dyDescent="0.25">
      <c r="F157"/>
      <c r="G157"/>
      <c r="H157"/>
    </row>
    <row r="158" spans="1:8" x14ac:dyDescent="0.25">
      <c r="F158"/>
      <c r="G158"/>
      <c r="H158"/>
    </row>
    <row r="159" spans="1:8" x14ac:dyDescent="0.25">
      <c r="F159"/>
      <c r="G159"/>
      <c r="H159"/>
    </row>
    <row r="160" spans="1:8" x14ac:dyDescent="0.25">
      <c r="F160"/>
      <c r="G160"/>
      <c r="H160"/>
    </row>
    <row r="161" spans="6:8" x14ac:dyDescent="0.25">
      <c r="F161"/>
      <c r="G161"/>
      <c r="H161"/>
    </row>
    <row r="162" spans="6:8" x14ac:dyDescent="0.25">
      <c r="F162"/>
      <c r="G162"/>
      <c r="H162"/>
    </row>
    <row r="163" spans="6:8" x14ac:dyDescent="0.25">
      <c r="F163"/>
      <c r="G163"/>
      <c r="H163"/>
    </row>
    <row r="164" spans="6:8" x14ac:dyDescent="0.25">
      <c r="F164"/>
      <c r="G164"/>
      <c r="H164"/>
    </row>
    <row r="165" spans="6:8" x14ac:dyDescent="0.25">
      <c r="F165"/>
      <c r="G165"/>
      <c r="H165"/>
    </row>
    <row r="166" spans="6:8" x14ac:dyDescent="0.25">
      <c r="F166"/>
      <c r="G166"/>
      <c r="H166"/>
    </row>
    <row r="167" spans="6:8" x14ac:dyDescent="0.25">
      <c r="F167"/>
      <c r="G167"/>
      <c r="H167"/>
    </row>
    <row r="168" spans="6:8" x14ac:dyDescent="0.25">
      <c r="F168"/>
      <c r="G168"/>
      <c r="H168"/>
    </row>
    <row r="169" spans="6:8" x14ac:dyDescent="0.25">
      <c r="F169"/>
      <c r="G169"/>
      <c r="H169"/>
    </row>
    <row r="170" spans="6:8" x14ac:dyDescent="0.25">
      <c r="F170"/>
      <c r="G170"/>
      <c r="H170"/>
    </row>
    <row r="171" spans="6:8" x14ac:dyDescent="0.25">
      <c r="F171"/>
      <c r="G171"/>
      <c r="H171"/>
    </row>
    <row r="172" spans="6:8" x14ac:dyDescent="0.25">
      <c r="F172"/>
      <c r="G172"/>
      <c r="H172"/>
    </row>
    <row r="173" spans="6:8" x14ac:dyDescent="0.25">
      <c r="F173"/>
      <c r="G173"/>
      <c r="H173"/>
    </row>
    <row r="174" spans="6:8" x14ac:dyDescent="0.25">
      <c r="F174"/>
      <c r="G174"/>
      <c r="H174"/>
    </row>
    <row r="175" spans="6:8" x14ac:dyDescent="0.25">
      <c r="F175"/>
      <c r="G175"/>
      <c r="H175"/>
    </row>
    <row r="176" spans="6:8" x14ac:dyDescent="0.25">
      <c r="F176"/>
      <c r="G176"/>
      <c r="H176"/>
    </row>
    <row r="177" spans="6:8" x14ac:dyDescent="0.25">
      <c r="F177"/>
      <c r="G177"/>
      <c r="H177"/>
    </row>
    <row r="178" spans="6:8" x14ac:dyDescent="0.25">
      <c r="F178"/>
      <c r="G178"/>
      <c r="H178"/>
    </row>
    <row r="179" spans="6:8" x14ac:dyDescent="0.25">
      <c r="F179"/>
      <c r="G179"/>
      <c r="H179"/>
    </row>
    <row r="180" spans="6:8" x14ac:dyDescent="0.25">
      <c r="F180"/>
      <c r="G180"/>
      <c r="H180"/>
    </row>
    <row r="181" spans="6:8" x14ac:dyDescent="0.25">
      <c r="F181"/>
      <c r="G181"/>
      <c r="H181"/>
    </row>
    <row r="182" spans="6:8" x14ac:dyDescent="0.25">
      <c r="F182"/>
      <c r="G182"/>
      <c r="H182"/>
    </row>
    <row r="183" spans="6:8" x14ac:dyDescent="0.25">
      <c r="F183"/>
      <c r="G183"/>
      <c r="H183"/>
    </row>
    <row r="184" spans="6:8" x14ac:dyDescent="0.25">
      <c r="F184"/>
      <c r="G184"/>
      <c r="H184"/>
    </row>
    <row r="185" spans="6:8" x14ac:dyDescent="0.25">
      <c r="F185"/>
      <c r="G185"/>
      <c r="H185"/>
    </row>
    <row r="186" spans="6:8" x14ac:dyDescent="0.25">
      <c r="F186"/>
      <c r="G186"/>
      <c r="H186"/>
    </row>
    <row r="187" spans="6:8" x14ac:dyDescent="0.25">
      <c r="F187"/>
      <c r="G187"/>
      <c r="H187"/>
    </row>
    <row r="188" spans="6:8" x14ac:dyDescent="0.25">
      <c r="F188"/>
      <c r="G188"/>
      <c r="H188"/>
    </row>
    <row r="189" spans="6:8" x14ac:dyDescent="0.25">
      <c r="F189"/>
      <c r="G189"/>
      <c r="H189"/>
    </row>
    <row r="190" spans="6:8" x14ac:dyDescent="0.25">
      <c r="F190"/>
      <c r="G190"/>
      <c r="H190"/>
    </row>
    <row r="191" spans="6:8" x14ac:dyDescent="0.25">
      <c r="F191"/>
      <c r="G191"/>
      <c r="H191"/>
    </row>
    <row r="192" spans="6:8" x14ac:dyDescent="0.25">
      <c r="F192"/>
      <c r="G192"/>
      <c r="H192"/>
    </row>
    <row r="193" spans="6:8" x14ac:dyDescent="0.25">
      <c r="F193"/>
      <c r="G193"/>
      <c r="H193"/>
    </row>
    <row r="194" spans="6:8" x14ac:dyDescent="0.25">
      <c r="F194"/>
      <c r="G194"/>
      <c r="H194"/>
    </row>
    <row r="195" spans="6:8" x14ac:dyDescent="0.25">
      <c r="F195"/>
      <c r="G195"/>
      <c r="H195"/>
    </row>
    <row r="196" spans="6:8" x14ac:dyDescent="0.25">
      <c r="F196"/>
      <c r="G196"/>
      <c r="H196"/>
    </row>
    <row r="197" spans="6:8" x14ac:dyDescent="0.25">
      <c r="F197"/>
      <c r="G197"/>
      <c r="H197"/>
    </row>
    <row r="198" spans="6:8" x14ac:dyDescent="0.25">
      <c r="F198"/>
      <c r="G198"/>
      <c r="H198"/>
    </row>
    <row r="199" spans="6:8" x14ac:dyDescent="0.25">
      <c r="F199"/>
      <c r="G199"/>
      <c r="H199"/>
    </row>
    <row r="200" spans="6:8" x14ac:dyDescent="0.25">
      <c r="F200"/>
      <c r="G200"/>
      <c r="H200"/>
    </row>
    <row r="201" spans="6:8" x14ac:dyDescent="0.25">
      <c r="F201"/>
      <c r="G201"/>
      <c r="H201"/>
    </row>
    <row r="202" spans="6:8" x14ac:dyDescent="0.25">
      <c r="F202"/>
      <c r="G202"/>
      <c r="H202"/>
    </row>
    <row r="203" spans="6:8" x14ac:dyDescent="0.25">
      <c r="F203"/>
      <c r="G203"/>
      <c r="H203"/>
    </row>
    <row r="204" spans="6:8" x14ac:dyDescent="0.25">
      <c r="F204"/>
      <c r="G204"/>
      <c r="H204"/>
    </row>
    <row r="205" spans="6:8" x14ac:dyDescent="0.25">
      <c r="F205"/>
      <c r="G205"/>
      <c r="H205"/>
    </row>
    <row r="206" spans="6:8" x14ac:dyDescent="0.25">
      <c r="F206"/>
      <c r="G206"/>
      <c r="H206"/>
    </row>
    <row r="207" spans="6:8" x14ac:dyDescent="0.25">
      <c r="F207"/>
      <c r="G207"/>
      <c r="H207"/>
    </row>
    <row r="208" spans="6:8" x14ac:dyDescent="0.25">
      <c r="F208"/>
      <c r="G208"/>
      <c r="H208"/>
    </row>
    <row r="209" spans="6:8" x14ac:dyDescent="0.25">
      <c r="F209"/>
      <c r="G209"/>
      <c r="H209"/>
    </row>
    <row r="210" spans="6:8" x14ac:dyDescent="0.25">
      <c r="F210"/>
      <c r="G210"/>
      <c r="H210"/>
    </row>
    <row r="211" spans="6:8" x14ac:dyDescent="0.25">
      <c r="F211"/>
      <c r="G211"/>
      <c r="H211"/>
    </row>
    <row r="212" spans="6:8" x14ac:dyDescent="0.25">
      <c r="F212"/>
      <c r="G212"/>
      <c r="H212"/>
    </row>
    <row r="213" spans="6:8" x14ac:dyDescent="0.25">
      <c r="F213"/>
      <c r="G213"/>
      <c r="H213"/>
    </row>
    <row r="214" spans="6:8" x14ac:dyDescent="0.25">
      <c r="F214"/>
      <c r="G214"/>
      <c r="H214"/>
    </row>
    <row r="215" spans="6:8" x14ac:dyDescent="0.25">
      <c r="F215"/>
      <c r="G215"/>
      <c r="H215"/>
    </row>
    <row r="216" spans="6:8" x14ac:dyDescent="0.25">
      <c r="F216"/>
      <c r="G216"/>
      <c r="H216"/>
    </row>
    <row r="217" spans="6:8" x14ac:dyDescent="0.25">
      <c r="F217"/>
      <c r="G217"/>
      <c r="H217"/>
    </row>
    <row r="218" spans="6:8" x14ac:dyDescent="0.25">
      <c r="F218"/>
      <c r="G218"/>
      <c r="H218"/>
    </row>
    <row r="219" spans="6:8" x14ac:dyDescent="0.25">
      <c r="F219"/>
      <c r="G219"/>
      <c r="H219"/>
    </row>
    <row r="220" spans="6:8" x14ac:dyDescent="0.25">
      <c r="F220"/>
      <c r="G220"/>
      <c r="H220"/>
    </row>
    <row r="221" spans="6:8" x14ac:dyDescent="0.25">
      <c r="F221"/>
      <c r="G221"/>
      <c r="H221"/>
    </row>
    <row r="222" spans="6:8" x14ac:dyDescent="0.25">
      <c r="F222"/>
      <c r="G222"/>
      <c r="H222"/>
    </row>
    <row r="223" spans="6:8" x14ac:dyDescent="0.25">
      <c r="F223"/>
      <c r="G223"/>
      <c r="H223"/>
    </row>
    <row r="224" spans="6:8" x14ac:dyDescent="0.25">
      <c r="F224"/>
      <c r="G224"/>
      <c r="H224"/>
    </row>
    <row r="225" spans="6:8" x14ac:dyDescent="0.25">
      <c r="F225"/>
      <c r="G225"/>
      <c r="H225"/>
    </row>
    <row r="226" spans="6:8" x14ac:dyDescent="0.25">
      <c r="F226"/>
      <c r="G226"/>
      <c r="H226"/>
    </row>
    <row r="227" spans="6:8" x14ac:dyDescent="0.25">
      <c r="F227"/>
      <c r="G227"/>
      <c r="H227"/>
    </row>
    <row r="228" spans="6:8" x14ac:dyDescent="0.25">
      <c r="F228"/>
      <c r="G228"/>
      <c r="H228"/>
    </row>
    <row r="229" spans="6:8" x14ac:dyDescent="0.25">
      <c r="F229"/>
      <c r="G229"/>
      <c r="H229"/>
    </row>
    <row r="230" spans="6:8" x14ac:dyDescent="0.25">
      <c r="G230"/>
      <c r="H230"/>
    </row>
  </sheetData>
  <mergeCells count="1">
    <mergeCell ref="B1:G1"/>
  </mergeCells>
  <pageMargins left="0.511811024" right="0.511811024" top="0.78740157499999996" bottom="0.78740157499999996" header="0.31496062000000002" footer="0.31496062000000002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C0DF7-E340-4DFD-A9CB-3BFC5642C7BE}">
  <dimension ref="A1:M227"/>
  <sheetViews>
    <sheetView topLeftCell="A14" zoomScaleNormal="100" workbookViewId="0">
      <selection activeCell="D26" sqref="D26"/>
    </sheetView>
  </sheetViews>
  <sheetFormatPr defaultColWidth="9.140625" defaultRowHeight="15" x14ac:dyDescent="0.25"/>
  <cols>
    <col min="1" max="1" width="9.140625" style="45"/>
    <col min="2" max="2" width="29.5703125" style="45" hidden="1" customWidth="1"/>
    <col min="3" max="3" width="45.28515625" style="45" customWidth="1"/>
    <col min="4" max="4" width="29.7109375" style="45" customWidth="1"/>
    <col min="5" max="5" width="21.42578125" style="45" customWidth="1"/>
    <col min="6" max="6" width="17.42578125" style="45" customWidth="1"/>
    <col min="7" max="7" width="16.42578125" style="45" customWidth="1"/>
    <col min="8" max="8" width="17.140625" style="45" customWidth="1"/>
    <col min="9" max="9" width="16.85546875" style="45" bestFit="1" customWidth="1"/>
    <col min="10" max="16384" width="9.140625" style="45"/>
  </cols>
  <sheetData>
    <row r="1" spans="2:9" customFormat="1" ht="21.75" customHeight="1" x14ac:dyDescent="0.25">
      <c r="B1" s="46"/>
      <c r="C1" s="112" t="s">
        <v>0</v>
      </c>
      <c r="D1" s="113"/>
      <c r="E1" s="113"/>
      <c r="F1" s="113"/>
      <c r="G1" s="113"/>
      <c r="H1" s="114"/>
      <c r="I1" s="47"/>
    </row>
    <row r="2" spans="2:9" customFormat="1" ht="30" customHeight="1" x14ac:dyDescent="0.25">
      <c r="B2" s="1" t="s">
        <v>1</v>
      </c>
      <c r="C2" s="2" t="s">
        <v>2</v>
      </c>
      <c r="D2" s="2" t="s">
        <v>3</v>
      </c>
      <c r="E2" s="3" t="s">
        <v>4</v>
      </c>
      <c r="F2" s="3"/>
      <c r="G2" s="4" t="s">
        <v>5</v>
      </c>
      <c r="H2" s="5"/>
      <c r="I2" s="6"/>
    </row>
    <row r="3" spans="2:9" customFormat="1" ht="30.6" customHeight="1" x14ac:dyDescent="0.25">
      <c r="B3" s="7">
        <v>1</v>
      </c>
      <c r="C3" s="8" t="s">
        <v>6</v>
      </c>
      <c r="D3" s="8"/>
      <c r="E3" s="9">
        <v>45809</v>
      </c>
      <c r="F3" s="9"/>
      <c r="G3" s="10">
        <f>532.69+550+5000</f>
        <v>6082.6900000000005</v>
      </c>
      <c r="H3" s="5"/>
      <c r="I3" s="6"/>
    </row>
    <row r="4" spans="2:9" customFormat="1" ht="30.6" customHeight="1" x14ac:dyDescent="0.25">
      <c r="B4" s="7">
        <v>2</v>
      </c>
      <c r="C4" s="8" t="s">
        <v>8</v>
      </c>
      <c r="D4" s="8" t="s">
        <v>9</v>
      </c>
      <c r="E4" s="9">
        <v>45809</v>
      </c>
      <c r="F4" s="9"/>
      <c r="G4" s="10">
        <v>39590</v>
      </c>
      <c r="H4" s="5"/>
      <c r="I4" s="11"/>
    </row>
    <row r="5" spans="2:9" customFormat="1" ht="30.6" customHeight="1" x14ac:dyDescent="0.25">
      <c r="B5" s="7">
        <v>3</v>
      </c>
      <c r="C5" s="8" t="s">
        <v>10</v>
      </c>
      <c r="D5" s="12" t="s">
        <v>11</v>
      </c>
      <c r="E5" s="9">
        <v>45809</v>
      </c>
      <c r="F5" s="9"/>
      <c r="G5" s="10">
        <v>39510.6</v>
      </c>
      <c r="H5" s="5"/>
      <c r="I5" s="11"/>
    </row>
    <row r="6" spans="2:9" customFormat="1" ht="30.6" customHeight="1" x14ac:dyDescent="0.25">
      <c r="B6" s="7">
        <v>4</v>
      </c>
      <c r="C6" s="8" t="s">
        <v>12</v>
      </c>
      <c r="D6" s="8"/>
      <c r="E6" s="9">
        <v>45809</v>
      </c>
      <c r="F6" s="9"/>
      <c r="G6" s="10">
        <v>402.68</v>
      </c>
      <c r="H6" s="5"/>
      <c r="I6" s="6"/>
    </row>
    <row r="7" spans="2:9" customFormat="1" ht="30.6" customHeight="1" x14ac:dyDescent="0.25">
      <c r="B7" s="7">
        <v>5</v>
      </c>
      <c r="C7" s="8" t="s">
        <v>13</v>
      </c>
      <c r="D7" s="8" t="s">
        <v>14</v>
      </c>
      <c r="E7" s="9">
        <v>45809</v>
      </c>
      <c r="F7" s="9"/>
      <c r="G7" s="13">
        <v>1518</v>
      </c>
      <c r="H7" s="5"/>
      <c r="I7" s="6"/>
    </row>
    <row r="8" spans="2:9" customFormat="1" ht="30.6" customHeight="1" x14ac:dyDescent="0.25">
      <c r="B8" s="7">
        <v>6</v>
      </c>
      <c r="C8" s="8" t="s">
        <v>15</v>
      </c>
      <c r="D8" s="8" t="s">
        <v>16</v>
      </c>
      <c r="E8" s="9">
        <v>45809</v>
      </c>
      <c r="F8" s="9"/>
      <c r="G8" s="13">
        <v>2500</v>
      </c>
      <c r="H8" s="5"/>
      <c r="I8" s="6"/>
    </row>
    <row r="9" spans="2:9" customFormat="1" ht="34.5" customHeight="1" x14ac:dyDescent="0.25">
      <c r="B9" s="7">
        <v>7</v>
      </c>
      <c r="C9" s="14" t="s">
        <v>17</v>
      </c>
      <c r="D9" s="12" t="s">
        <v>18</v>
      </c>
      <c r="E9" s="9">
        <v>45809</v>
      </c>
      <c r="F9" s="9"/>
      <c r="G9" s="13">
        <v>880</v>
      </c>
      <c r="H9" s="5"/>
      <c r="I9" s="6"/>
    </row>
    <row r="10" spans="2:9" customFormat="1" ht="30.6" customHeight="1" x14ac:dyDescent="0.25">
      <c r="B10" s="7">
        <v>8</v>
      </c>
      <c r="C10" s="14" t="s">
        <v>19</v>
      </c>
      <c r="D10" s="14" t="s">
        <v>20</v>
      </c>
      <c r="E10" s="9">
        <v>45809</v>
      </c>
      <c r="F10" s="9"/>
      <c r="G10" s="13">
        <v>82.34</v>
      </c>
      <c r="H10" s="5"/>
      <c r="I10" s="6"/>
    </row>
    <row r="11" spans="2:9" customFormat="1" ht="30.6" customHeight="1" x14ac:dyDescent="0.25">
      <c r="B11" s="7">
        <v>9</v>
      </c>
      <c r="C11" s="14" t="s">
        <v>149</v>
      </c>
      <c r="D11" s="14" t="s">
        <v>150</v>
      </c>
      <c r="E11" s="9">
        <v>45809</v>
      </c>
      <c r="F11" s="9"/>
      <c r="G11" s="13">
        <v>149.9</v>
      </c>
      <c r="H11" s="5"/>
      <c r="I11" s="6"/>
    </row>
    <row r="12" spans="2:9" customFormat="1" ht="30.6" customHeight="1" x14ac:dyDescent="0.25">
      <c r="B12" s="7">
        <v>10</v>
      </c>
      <c r="C12" s="14" t="s">
        <v>21</v>
      </c>
      <c r="D12" s="12" t="s">
        <v>22</v>
      </c>
      <c r="E12" s="9">
        <v>45809</v>
      </c>
      <c r="F12" s="9"/>
      <c r="G12" s="13">
        <v>308</v>
      </c>
      <c r="H12" s="5"/>
      <c r="I12" s="15"/>
    </row>
    <row r="13" spans="2:9" customFormat="1" ht="30.6" customHeight="1" x14ac:dyDescent="0.25">
      <c r="B13" s="7">
        <v>11</v>
      </c>
      <c r="C13" s="14" t="s">
        <v>23</v>
      </c>
      <c r="D13" s="8"/>
      <c r="E13" s="9">
        <v>45809</v>
      </c>
      <c r="F13" s="9"/>
      <c r="G13" s="13">
        <v>40</v>
      </c>
      <c r="H13" s="5"/>
      <c r="I13" s="6"/>
    </row>
    <row r="14" spans="2:9" customFormat="1" ht="31.5" customHeight="1" x14ac:dyDescent="0.25">
      <c r="B14" s="7">
        <v>12</v>
      </c>
      <c r="C14" s="14" t="s">
        <v>24</v>
      </c>
      <c r="D14" s="12" t="s">
        <v>25</v>
      </c>
      <c r="E14" s="9">
        <v>45809</v>
      </c>
      <c r="F14" s="9"/>
      <c r="G14" s="13">
        <v>478.9</v>
      </c>
      <c r="H14" s="5"/>
      <c r="I14" s="6"/>
    </row>
    <row r="15" spans="2:9" customFormat="1" ht="36.75" customHeight="1" x14ac:dyDescent="0.25">
      <c r="B15" s="7">
        <v>13</v>
      </c>
      <c r="C15" s="14" t="s">
        <v>157</v>
      </c>
      <c r="D15" s="12" t="s">
        <v>158</v>
      </c>
      <c r="E15" s="9">
        <v>45809</v>
      </c>
      <c r="F15" s="9"/>
      <c r="G15" s="13">
        <v>89.46</v>
      </c>
      <c r="H15" s="5"/>
      <c r="I15" s="6"/>
    </row>
    <row r="16" spans="2:9" customFormat="1" ht="42" customHeight="1" x14ac:dyDescent="0.25">
      <c r="B16" s="48"/>
      <c r="C16" s="49" t="s">
        <v>31</v>
      </c>
      <c r="D16" s="50"/>
      <c r="E16" s="51"/>
      <c r="F16" s="52"/>
      <c r="G16" s="53">
        <f>SUM(G3:G15)</f>
        <v>91632.569999999992</v>
      </c>
      <c r="H16" s="54"/>
      <c r="I16" s="55"/>
    </row>
    <row r="17" spans="1:13" customFormat="1" ht="21.75" customHeight="1" x14ac:dyDescent="0.25">
      <c r="B17" s="16" t="s">
        <v>32</v>
      </c>
      <c r="C17" s="17" t="s">
        <v>33</v>
      </c>
      <c r="D17" s="18" t="s">
        <v>34</v>
      </c>
      <c r="E17" s="16" t="s">
        <v>35</v>
      </c>
      <c r="F17" s="16" t="s">
        <v>36</v>
      </c>
      <c r="G17" s="16" t="s">
        <v>37</v>
      </c>
      <c r="H17" s="19" t="s">
        <v>38</v>
      </c>
      <c r="I17" s="18" t="s">
        <v>39</v>
      </c>
    </row>
    <row r="18" spans="1:13" s="72" customFormat="1" ht="15" customHeight="1" x14ac:dyDescent="0.25">
      <c r="A18" s="83">
        <v>1</v>
      </c>
      <c r="B18" s="65" t="s">
        <v>40</v>
      </c>
      <c r="C18" s="66" t="s">
        <v>41</v>
      </c>
      <c r="D18" s="67" t="s">
        <v>42</v>
      </c>
      <c r="E18" s="68">
        <v>4016</v>
      </c>
      <c r="F18" s="69">
        <f t="shared" ref="F18:F60" si="0">E18/$E$61</f>
        <v>1.2610517083325563E-2</v>
      </c>
      <c r="G18" s="70">
        <f t="shared" ref="G18:G60" si="1">$G$16*F18</f>
        <v>1155.5340893740254</v>
      </c>
      <c r="H18" s="71">
        <f>G18*5%</f>
        <v>57.776704468701269</v>
      </c>
      <c r="I18" s="71">
        <f t="shared" ref="I18:I60" si="2">G18+H18</f>
        <v>1213.3107938427265</v>
      </c>
    </row>
    <row r="19" spans="1:13" s="74" customFormat="1" x14ac:dyDescent="0.25">
      <c r="A19" s="84">
        <v>2</v>
      </c>
      <c r="B19" s="65" t="s">
        <v>43</v>
      </c>
      <c r="C19" s="73" t="s">
        <v>44</v>
      </c>
      <c r="D19" s="67">
        <v>18778225000139</v>
      </c>
      <c r="E19" s="68">
        <v>8711.2199999999993</v>
      </c>
      <c r="F19" s="69">
        <f t="shared" si="0"/>
        <v>2.7353831829334489E-2</v>
      </c>
      <c r="G19" s="70">
        <f t="shared" si="1"/>
        <v>2506.5019098697203</v>
      </c>
      <c r="H19" s="71">
        <f t="shared" ref="H19:H60" si="3">G19*5%</f>
        <v>125.32509549348602</v>
      </c>
      <c r="I19" s="71">
        <f t="shared" si="2"/>
        <v>2631.8270053632064</v>
      </c>
    </row>
    <row r="20" spans="1:13" s="74" customFormat="1" x14ac:dyDescent="0.25">
      <c r="A20" s="83">
        <v>3</v>
      </c>
      <c r="B20" s="65" t="s">
        <v>45</v>
      </c>
      <c r="C20" s="73" t="s">
        <v>46</v>
      </c>
      <c r="D20" s="67">
        <v>41993875000119</v>
      </c>
      <c r="E20" s="68">
        <v>3641.8</v>
      </c>
      <c r="F20" s="69">
        <f t="shared" si="0"/>
        <v>1.1435503265451952E-2</v>
      </c>
      <c r="G20" s="70">
        <f t="shared" si="1"/>
        <v>1047.8645534567545</v>
      </c>
      <c r="H20" s="71">
        <f t="shared" si="3"/>
        <v>52.393227672837725</v>
      </c>
      <c r="I20" s="71">
        <f t="shared" si="2"/>
        <v>1100.2577811295923</v>
      </c>
    </row>
    <row r="21" spans="1:13" s="74" customFormat="1" x14ac:dyDescent="0.25">
      <c r="A21" s="84">
        <v>4</v>
      </c>
      <c r="B21" s="65" t="s">
        <v>47</v>
      </c>
      <c r="C21" s="66" t="s">
        <v>48</v>
      </c>
      <c r="D21" s="67">
        <v>24781302000102</v>
      </c>
      <c r="E21" s="68">
        <v>3430</v>
      </c>
      <c r="F21" s="69">
        <f t="shared" si="0"/>
        <v>1.0770436652342301E-2</v>
      </c>
      <c r="G21" s="70">
        <f t="shared" si="1"/>
        <v>986.92279047632155</v>
      </c>
      <c r="H21" s="71">
        <f t="shared" si="3"/>
        <v>49.346139523816078</v>
      </c>
      <c r="I21" s="71">
        <f t="shared" si="2"/>
        <v>1036.2689300001375</v>
      </c>
    </row>
    <row r="22" spans="1:13" customFormat="1" x14ac:dyDescent="0.25">
      <c r="A22" s="83">
        <v>5</v>
      </c>
      <c r="B22" s="20" t="s">
        <v>161</v>
      </c>
      <c r="C22" s="66" t="s">
        <v>162</v>
      </c>
      <c r="D22" s="22" t="s">
        <v>163</v>
      </c>
      <c r="E22" s="23">
        <v>9403</v>
      </c>
      <c r="F22" s="69">
        <f t="shared" si="0"/>
        <v>2.9526068758593194E-2</v>
      </c>
      <c r="G22" s="70">
        <f t="shared" si="1"/>
        <v>2705.5495623466036</v>
      </c>
      <c r="H22" s="26">
        <f t="shared" si="3"/>
        <v>135.27747811733019</v>
      </c>
      <c r="I22" s="26">
        <f t="shared" si="2"/>
        <v>2840.8270404639338</v>
      </c>
    </row>
    <row r="23" spans="1:13" s="74" customFormat="1" x14ac:dyDescent="0.25">
      <c r="A23" s="84">
        <v>6</v>
      </c>
      <c r="B23" s="65" t="s">
        <v>49</v>
      </c>
      <c r="C23" s="66" t="s">
        <v>50</v>
      </c>
      <c r="D23" s="67">
        <v>38649716000197</v>
      </c>
      <c r="E23" s="68">
        <v>3440</v>
      </c>
      <c r="F23" s="69">
        <f t="shared" si="0"/>
        <v>1.0801837342290821E-2</v>
      </c>
      <c r="G23" s="70">
        <f t="shared" si="1"/>
        <v>989.80011639607744</v>
      </c>
      <c r="H23" s="71">
        <f t="shared" si="3"/>
        <v>49.490005819803876</v>
      </c>
      <c r="I23" s="71">
        <f t="shared" si="2"/>
        <v>1039.2901222158814</v>
      </c>
    </row>
    <row r="24" spans="1:13" s="74" customFormat="1" x14ac:dyDescent="0.25">
      <c r="A24" s="83">
        <v>7</v>
      </c>
      <c r="B24" s="65" t="s">
        <v>51</v>
      </c>
      <c r="C24" s="66" t="s">
        <v>52</v>
      </c>
      <c r="D24" s="67" t="s">
        <v>53</v>
      </c>
      <c r="E24" s="68">
        <v>4056</v>
      </c>
      <c r="F24" s="69">
        <f t="shared" si="0"/>
        <v>1.2736119843119642E-2</v>
      </c>
      <c r="G24" s="70">
        <f t="shared" si="1"/>
        <v>1167.0433930530496</v>
      </c>
      <c r="H24" s="71">
        <f t="shared" si="3"/>
        <v>58.352169652652485</v>
      </c>
      <c r="I24" s="71">
        <f t="shared" si="2"/>
        <v>1225.3955627057021</v>
      </c>
    </row>
    <row r="25" spans="1:13" s="74" customFormat="1" x14ac:dyDescent="0.25">
      <c r="A25" s="84">
        <v>8</v>
      </c>
      <c r="B25" s="65" t="s">
        <v>54</v>
      </c>
      <c r="C25" s="66" t="s">
        <v>55</v>
      </c>
      <c r="D25" s="67" t="s">
        <v>56</v>
      </c>
      <c r="E25" s="68">
        <v>11580</v>
      </c>
      <c r="F25" s="69">
        <f t="shared" si="0"/>
        <v>3.6361998960385958E-2</v>
      </c>
      <c r="G25" s="70">
        <f t="shared" si="1"/>
        <v>3331.9434150774932</v>
      </c>
      <c r="H25" s="71">
        <f t="shared" si="3"/>
        <v>166.59717075387468</v>
      </c>
      <c r="I25" s="71">
        <f t="shared" si="2"/>
        <v>3498.5405858313679</v>
      </c>
    </row>
    <row r="26" spans="1:13" s="74" customFormat="1" x14ac:dyDescent="0.25">
      <c r="A26" s="83">
        <v>9</v>
      </c>
      <c r="B26" s="65" t="s">
        <v>57</v>
      </c>
      <c r="C26" s="66" t="s">
        <v>58</v>
      </c>
      <c r="D26" s="67" t="s">
        <v>59</v>
      </c>
      <c r="E26" s="68">
        <f>360+360+1510</f>
        <v>2230</v>
      </c>
      <c r="F26" s="69">
        <f t="shared" si="0"/>
        <v>7.002353858519922E-3</v>
      </c>
      <c r="G26" s="70">
        <f t="shared" si="1"/>
        <v>641.64368010559679</v>
      </c>
      <c r="H26" s="71">
        <f t="shared" si="3"/>
        <v>32.082184005279842</v>
      </c>
      <c r="I26" s="71">
        <f t="shared" si="2"/>
        <v>673.72586411087661</v>
      </c>
    </row>
    <row r="27" spans="1:13" s="79" customFormat="1" ht="15.75" customHeight="1" x14ac:dyDescent="0.25">
      <c r="A27" s="84">
        <v>10</v>
      </c>
      <c r="B27" s="65" t="s">
        <v>60</v>
      </c>
      <c r="C27" s="75" t="s">
        <v>61</v>
      </c>
      <c r="D27" s="76" t="s">
        <v>62</v>
      </c>
      <c r="E27" s="68">
        <f>5224+3930</f>
        <v>9154</v>
      </c>
      <c r="F27" s="69">
        <f t="shared" si="0"/>
        <v>2.8744191578875051E-2</v>
      </c>
      <c r="G27" s="70">
        <f t="shared" si="1"/>
        <v>2633.9041469446784</v>
      </c>
      <c r="H27" s="71">
        <f t="shared" si="3"/>
        <v>131.69520734723392</v>
      </c>
      <c r="I27" s="77">
        <f t="shared" si="2"/>
        <v>2765.5993542919123</v>
      </c>
      <c r="J27" s="78" t="s">
        <v>63</v>
      </c>
      <c r="M27" s="79" t="s">
        <v>64</v>
      </c>
    </row>
    <row r="28" spans="1:13" s="74" customFormat="1" ht="15.75" customHeight="1" x14ac:dyDescent="0.25">
      <c r="A28" s="83">
        <v>11</v>
      </c>
      <c r="B28" s="65" t="s">
        <v>65</v>
      </c>
      <c r="C28" s="73" t="s">
        <v>66</v>
      </c>
      <c r="D28" s="67" t="s">
        <v>67</v>
      </c>
      <c r="E28" s="68">
        <v>2610</v>
      </c>
      <c r="F28" s="69">
        <f t="shared" si="0"/>
        <v>8.1955800765636747E-3</v>
      </c>
      <c r="G28" s="70">
        <f t="shared" si="1"/>
        <v>750.98206505632618</v>
      </c>
      <c r="H28" s="71">
        <f t="shared" si="3"/>
        <v>37.549103252816309</v>
      </c>
      <c r="I28" s="71">
        <f t="shared" si="2"/>
        <v>788.53116830914246</v>
      </c>
    </row>
    <row r="29" spans="1:13" s="74" customFormat="1" ht="15.75" customHeight="1" x14ac:dyDescent="0.25">
      <c r="A29" s="84">
        <v>12</v>
      </c>
      <c r="B29" s="65" t="s">
        <v>68</v>
      </c>
      <c r="C29" s="73" t="s">
        <v>69</v>
      </c>
      <c r="D29" s="67" t="s">
        <v>70</v>
      </c>
      <c r="E29" s="68">
        <v>5515</v>
      </c>
      <c r="F29" s="69">
        <f t="shared" si="0"/>
        <v>1.7317480506608685E-2</v>
      </c>
      <c r="G29" s="70">
        <f t="shared" si="1"/>
        <v>1586.8452447454556</v>
      </c>
      <c r="H29" s="71">
        <f t="shared" si="3"/>
        <v>79.342262237272791</v>
      </c>
      <c r="I29" s="71">
        <f t="shared" si="2"/>
        <v>1666.1875069827283</v>
      </c>
    </row>
    <row r="30" spans="1:13" s="74" customFormat="1" ht="15.75" customHeight="1" x14ac:dyDescent="0.25">
      <c r="A30" s="83">
        <v>13</v>
      </c>
      <c r="B30" s="65" t="s">
        <v>71</v>
      </c>
      <c r="C30" s="66" t="s">
        <v>72</v>
      </c>
      <c r="D30" s="67">
        <v>17202383000183</v>
      </c>
      <c r="E30" s="68">
        <v>15332</v>
      </c>
      <c r="F30" s="69">
        <f t="shared" si="0"/>
        <v>4.8143537829070597E-2</v>
      </c>
      <c r="G30" s="70">
        <f t="shared" si="1"/>
        <v>4411.5161001699589</v>
      </c>
      <c r="H30" s="71">
        <f t="shared" si="3"/>
        <v>220.57580500849795</v>
      </c>
      <c r="I30" s="71">
        <f t="shared" si="2"/>
        <v>4632.0919051784567</v>
      </c>
    </row>
    <row r="31" spans="1:13" s="74" customFormat="1" ht="15.75" customHeight="1" x14ac:dyDescent="0.25">
      <c r="A31" s="84">
        <v>14</v>
      </c>
      <c r="B31" s="65" t="s">
        <v>73</v>
      </c>
      <c r="C31" s="66" t="s">
        <v>74</v>
      </c>
      <c r="D31" s="67">
        <v>18183488000103</v>
      </c>
      <c r="E31" s="68">
        <v>7238</v>
      </c>
      <c r="F31" s="69">
        <f t="shared" si="0"/>
        <v>2.272781938473865E-2</v>
      </c>
      <c r="G31" s="70">
        <f t="shared" si="1"/>
        <v>2082.608500719421</v>
      </c>
      <c r="H31" s="71">
        <f t="shared" si="3"/>
        <v>104.13042503597106</v>
      </c>
      <c r="I31" s="71">
        <f t="shared" si="2"/>
        <v>2186.7389257553923</v>
      </c>
    </row>
    <row r="32" spans="1:13" s="74" customFormat="1" x14ac:dyDescent="0.25">
      <c r="A32" s="83">
        <v>15</v>
      </c>
      <c r="B32" s="65" t="s">
        <v>75</v>
      </c>
      <c r="C32" s="66" t="s">
        <v>76</v>
      </c>
      <c r="D32" s="67">
        <v>18244070000150</v>
      </c>
      <c r="E32" s="68">
        <v>5941</v>
      </c>
      <c r="F32" s="69">
        <f t="shared" si="0"/>
        <v>1.8655149898415629E-2</v>
      </c>
      <c r="G32" s="70">
        <f t="shared" si="1"/>
        <v>1709.4193289270629</v>
      </c>
      <c r="H32" s="71">
        <f t="shared" si="3"/>
        <v>85.470966446353145</v>
      </c>
      <c r="I32" s="71">
        <f t="shared" si="2"/>
        <v>1794.8902953734159</v>
      </c>
    </row>
    <row r="33" spans="1:13" s="74" customFormat="1" x14ac:dyDescent="0.25">
      <c r="A33" s="84">
        <v>16</v>
      </c>
      <c r="B33" s="65" t="s">
        <v>77</v>
      </c>
      <c r="C33" s="66" t="s">
        <v>78</v>
      </c>
      <c r="D33" s="67">
        <v>18244039000110</v>
      </c>
      <c r="E33" s="68">
        <v>4460</v>
      </c>
      <c r="F33" s="69">
        <f t="shared" si="0"/>
        <v>1.4004707717039844E-2</v>
      </c>
      <c r="G33" s="70">
        <f t="shared" si="1"/>
        <v>1283.2873602111936</v>
      </c>
      <c r="H33" s="71">
        <f t="shared" si="3"/>
        <v>64.164368010559684</v>
      </c>
      <c r="I33" s="71">
        <f t="shared" si="2"/>
        <v>1347.4517282217532</v>
      </c>
    </row>
    <row r="34" spans="1:13" s="74" customFormat="1" x14ac:dyDescent="0.25">
      <c r="A34" s="83">
        <v>17</v>
      </c>
      <c r="B34" s="65" t="s">
        <v>79</v>
      </c>
      <c r="C34" s="66" t="s">
        <v>153</v>
      </c>
      <c r="D34" s="67" t="s">
        <v>154</v>
      </c>
      <c r="E34" s="68">
        <v>4415</v>
      </c>
      <c r="F34" s="69">
        <f t="shared" si="0"/>
        <v>1.3863404612271504E-2</v>
      </c>
      <c r="G34" s="70">
        <f t="shared" si="1"/>
        <v>1270.3393935722913</v>
      </c>
      <c r="H34" s="71">
        <f t="shared" si="3"/>
        <v>63.516969678614572</v>
      </c>
      <c r="I34" s="71">
        <f t="shared" si="2"/>
        <v>1333.8563632509058</v>
      </c>
    </row>
    <row r="35" spans="1:13" s="74" customFormat="1" x14ac:dyDescent="0.25">
      <c r="A35" s="84">
        <v>18</v>
      </c>
      <c r="B35" s="65" t="s">
        <v>81</v>
      </c>
      <c r="C35" s="66" t="s">
        <v>82</v>
      </c>
      <c r="D35" s="67" t="s">
        <v>83</v>
      </c>
      <c r="E35" s="68">
        <v>8673</v>
      </c>
      <c r="F35" s="69">
        <f t="shared" si="0"/>
        <v>2.7233818392351245E-2</v>
      </c>
      <c r="G35" s="70">
        <f t="shared" si="1"/>
        <v>2495.5047702044126</v>
      </c>
      <c r="H35" s="71">
        <f t="shared" si="3"/>
        <v>124.77523851022063</v>
      </c>
      <c r="I35" s="71">
        <f t="shared" si="2"/>
        <v>2620.2800087146334</v>
      </c>
    </row>
    <row r="36" spans="1:13" s="74" customFormat="1" x14ac:dyDescent="0.25">
      <c r="A36" s="83">
        <v>19</v>
      </c>
      <c r="B36" s="65" t="s">
        <v>84</v>
      </c>
      <c r="C36" s="66" t="s">
        <v>155</v>
      </c>
      <c r="D36" s="67" t="s">
        <v>86</v>
      </c>
      <c r="E36" s="68">
        <v>9239</v>
      </c>
      <c r="F36" s="69">
        <f t="shared" si="0"/>
        <v>2.901109744343747E-2</v>
      </c>
      <c r="G36" s="70">
        <f t="shared" si="1"/>
        <v>2658.3614172626048</v>
      </c>
      <c r="H36" s="71">
        <f t="shared" si="3"/>
        <v>132.91807086313025</v>
      </c>
      <c r="I36" s="71">
        <f t="shared" si="2"/>
        <v>2791.279488125735</v>
      </c>
    </row>
    <row r="37" spans="1:13" s="74" customFormat="1" x14ac:dyDescent="0.25">
      <c r="A37" s="84">
        <v>20</v>
      </c>
      <c r="B37" s="65" t="s">
        <v>87</v>
      </c>
      <c r="C37" s="66" t="s">
        <v>88</v>
      </c>
      <c r="D37" s="67" t="s">
        <v>89</v>
      </c>
      <c r="E37" s="68">
        <v>4892</v>
      </c>
      <c r="F37" s="69">
        <f t="shared" si="0"/>
        <v>1.53612175228159E-2</v>
      </c>
      <c r="G37" s="70">
        <f t="shared" si="1"/>
        <v>1407.5878399446544</v>
      </c>
      <c r="H37" s="71">
        <f t="shared" si="3"/>
        <v>70.37939199723273</v>
      </c>
      <c r="I37" s="71">
        <f t="shared" si="2"/>
        <v>1477.9672319418871</v>
      </c>
    </row>
    <row r="38" spans="1:13" s="74" customFormat="1" x14ac:dyDescent="0.25">
      <c r="A38" s="83">
        <v>21</v>
      </c>
      <c r="B38" s="65" t="s">
        <v>90</v>
      </c>
      <c r="C38" s="66" t="s">
        <v>91</v>
      </c>
      <c r="D38" s="67">
        <v>41497649000147</v>
      </c>
      <c r="E38" s="68">
        <v>2526</v>
      </c>
      <c r="F38" s="69">
        <f t="shared" si="0"/>
        <v>7.9318142809961089E-3</v>
      </c>
      <c r="G38" s="70">
        <f t="shared" si="1"/>
        <v>726.81252733037559</v>
      </c>
      <c r="H38" s="71">
        <f t="shared" si="3"/>
        <v>36.340626366518784</v>
      </c>
      <c r="I38" s="71">
        <f t="shared" si="2"/>
        <v>763.15315369689438</v>
      </c>
    </row>
    <row r="39" spans="1:13" customFormat="1" ht="14.25" customHeight="1" x14ac:dyDescent="0.25">
      <c r="A39" s="84">
        <v>22</v>
      </c>
      <c r="B39" s="20" t="s">
        <v>145</v>
      </c>
      <c r="C39" s="21" t="s">
        <v>146</v>
      </c>
      <c r="D39" s="22">
        <v>19209989000176</v>
      </c>
      <c r="E39" s="23">
        <v>15365.8</v>
      </c>
      <c r="F39" s="24">
        <f t="shared" si="0"/>
        <v>4.8249672161096595E-2</v>
      </c>
      <c r="G39" s="25">
        <f t="shared" si="1"/>
        <v>4421.2414617787344</v>
      </c>
      <c r="H39" s="26">
        <f t="shared" si="3"/>
        <v>221.06207308893673</v>
      </c>
      <c r="I39" s="26">
        <f>G39+H39</f>
        <v>4642.3035348676713</v>
      </c>
    </row>
    <row r="40" spans="1:13" customFormat="1" x14ac:dyDescent="0.25">
      <c r="A40" s="83">
        <v>23</v>
      </c>
      <c r="B40" s="20" t="s">
        <v>92</v>
      </c>
      <c r="C40" s="21" t="s">
        <v>93</v>
      </c>
      <c r="D40" s="22">
        <v>40580071000125</v>
      </c>
      <c r="E40" s="23">
        <v>3600</v>
      </c>
      <c r="F40" s="24">
        <f t="shared" si="0"/>
        <v>1.1304248381467139E-2</v>
      </c>
      <c r="G40" s="25">
        <f t="shared" si="1"/>
        <v>1035.8373311121743</v>
      </c>
      <c r="H40" s="26">
        <f t="shared" si="3"/>
        <v>51.791866555608721</v>
      </c>
      <c r="I40" s="26">
        <f t="shared" si="2"/>
        <v>1087.629197667783</v>
      </c>
      <c r="J40" s="32" t="s">
        <v>63</v>
      </c>
      <c r="M40" t="s">
        <v>94</v>
      </c>
    </row>
    <row r="41" spans="1:13" customFormat="1" x14ac:dyDescent="0.25">
      <c r="A41" s="84">
        <v>24</v>
      </c>
      <c r="B41" s="20" t="s">
        <v>95</v>
      </c>
      <c r="C41" s="21" t="s">
        <v>96</v>
      </c>
      <c r="D41" s="22" t="s">
        <v>97</v>
      </c>
      <c r="E41" s="23">
        <v>3938</v>
      </c>
      <c r="F41" s="24">
        <f t="shared" si="0"/>
        <v>1.2365591701727109E-2</v>
      </c>
      <c r="G41" s="25">
        <f t="shared" si="1"/>
        <v>1133.0909471999285</v>
      </c>
      <c r="H41" s="26">
        <f t="shared" si="3"/>
        <v>56.654547359996428</v>
      </c>
      <c r="I41" s="26">
        <f t="shared" si="2"/>
        <v>1189.745494559925</v>
      </c>
    </row>
    <row r="42" spans="1:13" customFormat="1" x14ac:dyDescent="0.25">
      <c r="A42" s="83">
        <v>25</v>
      </c>
      <c r="B42" s="20" t="s">
        <v>98</v>
      </c>
      <c r="C42" s="21" t="s">
        <v>167</v>
      </c>
      <c r="D42" s="22" t="s">
        <v>168</v>
      </c>
      <c r="E42" s="23">
        <v>3707</v>
      </c>
      <c r="F42" s="24">
        <f t="shared" si="0"/>
        <v>1.1640235763916301E-2</v>
      </c>
      <c r="G42" s="25">
        <f t="shared" si="1"/>
        <v>1066.6247184535639</v>
      </c>
      <c r="H42" s="26">
        <f t="shared" si="3"/>
        <v>53.331235922678196</v>
      </c>
      <c r="I42" s="26">
        <f t="shared" si="2"/>
        <v>1119.9559543762421</v>
      </c>
    </row>
    <row r="43" spans="1:13" customFormat="1" x14ac:dyDescent="0.25">
      <c r="A43" s="84">
        <v>26</v>
      </c>
      <c r="B43" s="20" t="s">
        <v>100</v>
      </c>
      <c r="C43" s="21" t="s">
        <v>101</v>
      </c>
      <c r="D43" s="22">
        <v>42109766000159</v>
      </c>
      <c r="E43" s="23">
        <v>5117</v>
      </c>
      <c r="F43" s="24">
        <f t="shared" si="0"/>
        <v>1.6067733046657595E-2</v>
      </c>
      <c r="G43" s="25">
        <f t="shared" si="1"/>
        <v>1472.3276731391652</v>
      </c>
      <c r="H43" s="26">
        <f t="shared" si="3"/>
        <v>73.616383656958263</v>
      </c>
      <c r="I43" s="26">
        <f t="shared" si="2"/>
        <v>1545.9440567961235</v>
      </c>
    </row>
    <row r="44" spans="1:13" customFormat="1" x14ac:dyDescent="0.25">
      <c r="A44" s="83">
        <v>27</v>
      </c>
      <c r="B44" s="20" t="s">
        <v>102</v>
      </c>
      <c r="C44" s="21" t="s">
        <v>99</v>
      </c>
      <c r="D44" s="22">
        <v>18788190000119</v>
      </c>
      <c r="E44" s="23">
        <v>14717</v>
      </c>
      <c r="F44" s="24">
        <f t="shared" si="0"/>
        <v>4.6212395397236629E-2</v>
      </c>
      <c r="G44" s="25">
        <f t="shared" si="1"/>
        <v>4234.5605561049624</v>
      </c>
      <c r="H44" s="26">
        <f t="shared" si="3"/>
        <v>211.72802780524813</v>
      </c>
      <c r="I44" s="26">
        <f t="shared" si="2"/>
        <v>4446.2885839102109</v>
      </c>
    </row>
    <row r="45" spans="1:13" customFormat="1" ht="13.5" customHeight="1" x14ac:dyDescent="0.25">
      <c r="A45" s="84">
        <v>28</v>
      </c>
      <c r="B45" s="20" t="s">
        <v>103</v>
      </c>
      <c r="C45" s="21" t="s">
        <v>104</v>
      </c>
      <c r="D45" s="22">
        <v>32302613000170</v>
      </c>
      <c r="E45" s="23">
        <v>5439</v>
      </c>
      <c r="F45" s="24">
        <f t="shared" si="0"/>
        <v>1.7078835262999935E-2</v>
      </c>
      <c r="G45" s="25">
        <f t="shared" si="1"/>
        <v>1564.9775677553098</v>
      </c>
      <c r="H45" s="26">
        <f t="shared" si="3"/>
        <v>78.248878387765501</v>
      </c>
      <c r="I45" s="26">
        <f t="shared" si="2"/>
        <v>1643.2264461430752</v>
      </c>
    </row>
    <row r="46" spans="1:13" customFormat="1" x14ac:dyDescent="0.25">
      <c r="A46" s="83">
        <v>29</v>
      </c>
      <c r="B46" s="20" t="s">
        <v>105</v>
      </c>
      <c r="C46" s="21" t="s">
        <v>106</v>
      </c>
      <c r="D46" s="22">
        <v>28616552000148</v>
      </c>
      <c r="E46" s="23">
        <v>4123.71</v>
      </c>
      <c r="F46" s="24">
        <f t="shared" si="0"/>
        <v>1.2948733914761069E-2</v>
      </c>
      <c r="G46" s="25">
        <f t="shared" si="1"/>
        <v>1186.5257668557176</v>
      </c>
      <c r="H46" s="26">
        <f t="shared" si="3"/>
        <v>59.326288342785887</v>
      </c>
      <c r="I46" s="26">
        <f t="shared" si="2"/>
        <v>1245.8520551985034</v>
      </c>
    </row>
    <row r="47" spans="1:13" customFormat="1" x14ac:dyDescent="0.25">
      <c r="A47" s="84">
        <v>30</v>
      </c>
      <c r="B47" s="20" t="s">
        <v>107</v>
      </c>
      <c r="C47" s="21" t="s">
        <v>108</v>
      </c>
      <c r="D47" s="22">
        <v>42579914000107</v>
      </c>
      <c r="E47" s="23">
        <v>4986.3599999999997</v>
      </c>
      <c r="F47" s="24">
        <f t="shared" si="0"/>
        <v>1.5657514433170133E-2</v>
      </c>
      <c r="G47" s="25">
        <f t="shared" si="1"/>
        <v>1434.7382873234724</v>
      </c>
      <c r="H47" s="26">
        <f t="shared" si="3"/>
        <v>71.736914366173622</v>
      </c>
      <c r="I47" s="26">
        <f t="shared" si="2"/>
        <v>1506.4752016896459</v>
      </c>
    </row>
    <row r="48" spans="1:13" customFormat="1" x14ac:dyDescent="0.25">
      <c r="A48" s="83">
        <v>31</v>
      </c>
      <c r="B48" s="20" t="s">
        <v>109</v>
      </c>
      <c r="C48" s="21" t="s">
        <v>110</v>
      </c>
      <c r="D48" s="22" t="s">
        <v>111</v>
      </c>
      <c r="E48" s="23">
        <v>7462</v>
      </c>
      <c r="F48" s="24">
        <f t="shared" si="0"/>
        <v>2.3431194839585497E-2</v>
      </c>
      <c r="G48" s="25">
        <f t="shared" si="1"/>
        <v>2147.0606013219567</v>
      </c>
      <c r="H48" s="26">
        <f t="shared" si="3"/>
        <v>107.35303006609784</v>
      </c>
      <c r="I48" s="26">
        <f t="shared" si="2"/>
        <v>2254.4136313880545</v>
      </c>
    </row>
    <row r="49" spans="1:9" customFormat="1" x14ac:dyDescent="0.25">
      <c r="A49" s="84">
        <v>32</v>
      </c>
      <c r="B49" s="20" t="s">
        <v>112</v>
      </c>
      <c r="C49" s="21" t="s">
        <v>113</v>
      </c>
      <c r="D49" s="22" t="s">
        <v>114</v>
      </c>
      <c r="E49" s="23">
        <v>5525</v>
      </c>
      <c r="F49" s="24">
        <f t="shared" si="0"/>
        <v>1.7348881196557205E-2</v>
      </c>
      <c r="G49" s="25">
        <f t="shared" si="1"/>
        <v>1589.7225706652116</v>
      </c>
      <c r="H49" s="26">
        <f t="shared" si="3"/>
        <v>79.486128533260583</v>
      </c>
      <c r="I49" s="26">
        <f t="shared" si="2"/>
        <v>1669.2086991984722</v>
      </c>
    </row>
    <row r="50" spans="1:9" customFormat="1" x14ac:dyDescent="0.25">
      <c r="A50" s="83">
        <v>33</v>
      </c>
      <c r="B50" s="20" t="s">
        <v>117</v>
      </c>
      <c r="C50" s="21" t="s">
        <v>118</v>
      </c>
      <c r="D50" s="22" t="s">
        <v>119</v>
      </c>
      <c r="E50" s="23">
        <v>4943</v>
      </c>
      <c r="F50" s="24">
        <f t="shared" si="0"/>
        <v>1.552136104155335E-2</v>
      </c>
      <c r="G50" s="25">
        <f t="shared" si="1"/>
        <v>1422.2622021354102</v>
      </c>
      <c r="H50" s="26">
        <f t="shared" si="3"/>
        <v>71.11311010677052</v>
      </c>
      <c r="I50" s="26">
        <f t="shared" si="2"/>
        <v>1493.3753122421808</v>
      </c>
    </row>
    <row r="51" spans="1:9" customFormat="1" x14ac:dyDescent="0.25">
      <c r="A51" s="84">
        <v>34</v>
      </c>
      <c r="B51" s="20" t="s">
        <v>120</v>
      </c>
      <c r="C51" s="21" t="s">
        <v>121</v>
      </c>
      <c r="D51" s="22">
        <v>12997366000166</v>
      </c>
      <c r="E51" s="23">
        <v>5160</v>
      </c>
      <c r="F51" s="24">
        <f t="shared" si="0"/>
        <v>1.620275601343623E-2</v>
      </c>
      <c r="G51" s="25">
        <f t="shared" si="1"/>
        <v>1484.7001745941161</v>
      </c>
      <c r="H51" s="26">
        <f t="shared" si="3"/>
        <v>74.235008729705811</v>
      </c>
      <c r="I51" s="26">
        <f t="shared" si="2"/>
        <v>1558.935183323822</v>
      </c>
    </row>
    <row r="52" spans="1:9" customFormat="1" ht="16.5" customHeight="1" x14ac:dyDescent="0.25">
      <c r="A52" s="83">
        <v>35</v>
      </c>
      <c r="B52" s="20" t="s">
        <v>122</v>
      </c>
      <c r="C52" s="21" t="s">
        <v>123</v>
      </c>
      <c r="D52" s="22" t="s">
        <v>124</v>
      </c>
      <c r="E52" s="23">
        <v>6586</v>
      </c>
      <c r="F52" s="24">
        <f t="shared" si="0"/>
        <v>2.0680494400095159E-2</v>
      </c>
      <c r="G52" s="25">
        <f t="shared" si="1"/>
        <v>1895.0068507513274</v>
      </c>
      <c r="H52" s="26">
        <f t="shared" si="3"/>
        <v>94.750342537566382</v>
      </c>
      <c r="I52" s="26">
        <f t="shared" si="2"/>
        <v>1989.7571932888939</v>
      </c>
    </row>
    <row r="53" spans="1:9" customFormat="1" x14ac:dyDescent="0.25">
      <c r="A53" s="84">
        <v>36</v>
      </c>
      <c r="B53" s="20" t="s">
        <v>125</v>
      </c>
      <c r="C53" s="21" t="s">
        <v>126</v>
      </c>
      <c r="D53" s="22">
        <v>11884518000151</v>
      </c>
      <c r="E53" s="23">
        <v>5644</v>
      </c>
      <c r="F53" s="24">
        <f t="shared" si="0"/>
        <v>1.772254940694459E-2</v>
      </c>
      <c r="G53" s="25">
        <f t="shared" si="1"/>
        <v>1623.9627491103086</v>
      </c>
      <c r="H53" s="26">
        <f t="shared" si="3"/>
        <v>81.198137455515436</v>
      </c>
      <c r="I53" s="26">
        <f t="shared" si="2"/>
        <v>1705.1608865658241</v>
      </c>
    </row>
    <row r="54" spans="1:9" customFormat="1" x14ac:dyDescent="0.25">
      <c r="A54" s="83">
        <v>37</v>
      </c>
      <c r="B54" s="20" t="s">
        <v>147</v>
      </c>
      <c r="C54" s="21" t="s">
        <v>148</v>
      </c>
      <c r="D54" s="22">
        <v>41142377000162</v>
      </c>
      <c r="E54" s="23">
        <v>1134.82</v>
      </c>
      <c r="F54" s="24">
        <f t="shared" si="0"/>
        <v>3.5634130967379268E-3</v>
      </c>
      <c r="G54" s="25">
        <f t="shared" si="1"/>
        <v>326.52470002575484</v>
      </c>
      <c r="H54" s="26">
        <f t="shared" si="3"/>
        <v>16.326235001287742</v>
      </c>
      <c r="I54" s="26">
        <f t="shared" si="2"/>
        <v>342.85093502704257</v>
      </c>
    </row>
    <row r="55" spans="1:9" customFormat="1" x14ac:dyDescent="0.25">
      <c r="A55" s="84">
        <v>38</v>
      </c>
      <c r="B55" s="20" t="s">
        <v>127</v>
      </c>
      <c r="C55" s="21" t="s">
        <v>128</v>
      </c>
      <c r="D55" s="22">
        <v>36188051000136</v>
      </c>
      <c r="E55" s="23">
        <v>6936</v>
      </c>
      <c r="F55" s="24">
        <f t="shared" si="0"/>
        <v>2.1779518548293353E-2</v>
      </c>
      <c r="G55" s="25">
        <f t="shared" si="1"/>
        <v>1995.7132579427889</v>
      </c>
      <c r="H55" s="26">
        <f t="shared" si="3"/>
        <v>99.785662897139446</v>
      </c>
      <c r="I55" s="26">
        <f t="shared" si="2"/>
        <v>2095.4989208399284</v>
      </c>
    </row>
    <row r="56" spans="1:9" customFormat="1" x14ac:dyDescent="0.25">
      <c r="A56" s="83">
        <v>39</v>
      </c>
      <c r="B56" s="20" t="s">
        <v>129</v>
      </c>
      <c r="C56" s="21" t="s">
        <v>130</v>
      </c>
      <c r="D56" s="22" t="s">
        <v>131</v>
      </c>
      <c r="E56" s="23">
        <f>7425*40%</f>
        <v>2970</v>
      </c>
      <c r="F56" s="24">
        <f t="shared" si="0"/>
        <v>9.3260049147103896E-3</v>
      </c>
      <c r="G56" s="25">
        <f t="shared" si="1"/>
        <v>854.56579816754379</v>
      </c>
      <c r="H56" s="26">
        <f t="shared" si="3"/>
        <v>42.728289908377192</v>
      </c>
      <c r="I56" s="26">
        <f t="shared" si="2"/>
        <v>897.29408807592097</v>
      </c>
    </row>
    <row r="57" spans="1:9" customFormat="1" x14ac:dyDescent="0.25">
      <c r="A57" s="84">
        <v>40</v>
      </c>
      <c r="B57" s="20" t="s">
        <v>132</v>
      </c>
      <c r="C57" s="21" t="s">
        <v>133</v>
      </c>
      <c r="D57" s="22">
        <v>18741082000190</v>
      </c>
      <c r="E57" s="23">
        <v>12183</v>
      </c>
      <c r="F57" s="24">
        <f t="shared" si="0"/>
        <v>3.825546056428171E-2</v>
      </c>
      <c r="G57" s="25">
        <f t="shared" si="1"/>
        <v>3505.4461680387831</v>
      </c>
      <c r="H57" s="26">
        <f t="shared" si="3"/>
        <v>175.27230840193917</v>
      </c>
      <c r="I57" s="26">
        <f t="shared" si="2"/>
        <v>3680.718476440722</v>
      </c>
    </row>
    <row r="58" spans="1:9" s="74" customFormat="1" x14ac:dyDescent="0.25">
      <c r="A58" s="83">
        <v>41</v>
      </c>
      <c r="B58" s="65" t="s">
        <v>134</v>
      </c>
      <c r="C58" s="66" t="s">
        <v>135</v>
      </c>
      <c r="D58" s="67" t="s">
        <v>136</v>
      </c>
      <c r="E58" s="68">
        <v>4814</v>
      </c>
      <c r="F58" s="69">
        <f t="shared" si="0"/>
        <v>1.5116292141217446E-2</v>
      </c>
      <c r="G58" s="70">
        <f t="shared" si="1"/>
        <v>1385.1446977705573</v>
      </c>
      <c r="H58" s="71">
        <f t="shared" si="3"/>
        <v>69.257234888527861</v>
      </c>
      <c r="I58" s="71">
        <f t="shared" si="2"/>
        <v>1454.4019326590851</v>
      </c>
    </row>
    <row r="59" spans="1:9" s="74" customFormat="1" x14ac:dyDescent="0.25">
      <c r="A59" s="84">
        <v>42</v>
      </c>
      <c r="B59" s="65" t="s">
        <v>137</v>
      </c>
      <c r="C59" s="66" t="s">
        <v>138</v>
      </c>
      <c r="D59" s="67" t="s">
        <v>139</v>
      </c>
      <c r="E59" s="68">
        <v>3476.86</v>
      </c>
      <c r="F59" s="69">
        <f t="shared" si="0"/>
        <v>1.0917580285441065E-2</v>
      </c>
      <c r="G59" s="70">
        <f t="shared" si="1"/>
        <v>1000.4059397362983</v>
      </c>
      <c r="H59" s="71">
        <f t="shared" si="3"/>
        <v>50.020296986814913</v>
      </c>
      <c r="I59" s="71">
        <f t="shared" si="2"/>
        <v>1050.4262367231131</v>
      </c>
    </row>
    <row r="60" spans="1:9" s="74" customFormat="1" x14ac:dyDescent="0.25">
      <c r="A60" s="83">
        <v>43</v>
      </c>
      <c r="B60" s="65" t="s">
        <v>140</v>
      </c>
      <c r="C60" s="73" t="s">
        <v>141</v>
      </c>
      <c r="D60" s="67">
        <v>11884518000151</v>
      </c>
      <c r="E60" s="68">
        <f>81377.44-14717-3314-9239+11302+4126.33-9403</f>
        <v>60132.770000000004</v>
      </c>
      <c r="F60" s="69">
        <f t="shared" si="0"/>
        <v>0.18882104665156549</v>
      </c>
      <c r="G60" s="70">
        <f t="shared" si="1"/>
        <v>17302.157774772837</v>
      </c>
      <c r="H60" s="71">
        <f t="shared" si="3"/>
        <v>865.10788873864192</v>
      </c>
      <c r="I60" s="71">
        <f t="shared" si="2"/>
        <v>18167.26566351148</v>
      </c>
    </row>
    <row r="61" spans="1:9" customFormat="1" x14ac:dyDescent="0.25">
      <c r="B61" s="34"/>
      <c r="C61" s="35"/>
      <c r="D61" s="36" t="s">
        <v>142</v>
      </c>
      <c r="E61" s="37">
        <f>SUM(E18:E60)</f>
        <v>318464.33999999997</v>
      </c>
      <c r="F61" s="38">
        <f>SUM(F18:F60)</f>
        <v>1</v>
      </c>
      <c r="G61" s="39">
        <f>SUM(G18:G60)</f>
        <v>91632.57</v>
      </c>
      <c r="H61" s="39">
        <f>SUM(H18:H60)</f>
        <v>4581.6284999999989</v>
      </c>
      <c r="I61" s="40">
        <f>SUM(I18:I60)</f>
        <v>96214.198500000028</v>
      </c>
    </row>
    <row r="62" spans="1:9" customFormat="1" x14ac:dyDescent="0.25">
      <c r="G62" s="41"/>
    </row>
    <row r="63" spans="1:9" customFormat="1" x14ac:dyDescent="0.25">
      <c r="G63" s="41"/>
    </row>
    <row r="64" spans="1:9" customFormat="1" x14ac:dyDescent="0.25">
      <c r="E64" s="44"/>
      <c r="F64" s="41"/>
      <c r="I64" s="42"/>
    </row>
    <row r="65" spans="6:6" customFormat="1" x14ac:dyDescent="0.25">
      <c r="F65" s="41"/>
    </row>
    <row r="66" spans="6:6" customFormat="1" x14ac:dyDescent="0.25"/>
    <row r="67" spans="6:6" customFormat="1" x14ac:dyDescent="0.25"/>
    <row r="68" spans="6:6" customFormat="1" x14ac:dyDescent="0.25"/>
    <row r="69" spans="6:6" customFormat="1" x14ac:dyDescent="0.25"/>
    <row r="70" spans="6:6" customFormat="1" x14ac:dyDescent="0.25"/>
    <row r="71" spans="6:6" customFormat="1" x14ac:dyDescent="0.25"/>
    <row r="72" spans="6:6" customFormat="1" x14ac:dyDescent="0.25"/>
    <row r="73" spans="6:6" customFormat="1" x14ac:dyDescent="0.25"/>
    <row r="74" spans="6:6" customFormat="1" x14ac:dyDescent="0.25"/>
    <row r="75" spans="6:6" customFormat="1" x14ac:dyDescent="0.25"/>
    <row r="76" spans="6:6" customFormat="1" x14ac:dyDescent="0.25"/>
    <row r="77" spans="6:6" customFormat="1" x14ac:dyDescent="0.25"/>
    <row r="78" spans="6:6" customFormat="1" x14ac:dyDescent="0.25"/>
    <row r="79" spans="6:6" customFormat="1" x14ac:dyDescent="0.25"/>
    <row r="80" spans="6:6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spans="2:9" customFormat="1" x14ac:dyDescent="0.25">
      <c r="B145" s="45"/>
      <c r="C145" s="45"/>
      <c r="D145" s="45"/>
      <c r="E145" s="45"/>
      <c r="F145" s="45"/>
    </row>
    <row r="146" spans="2:9" x14ac:dyDescent="0.25">
      <c r="G146"/>
      <c r="H146"/>
      <c r="I146"/>
    </row>
    <row r="147" spans="2:9" x14ac:dyDescent="0.25">
      <c r="G147"/>
      <c r="H147"/>
      <c r="I147"/>
    </row>
    <row r="148" spans="2:9" x14ac:dyDescent="0.25">
      <c r="G148"/>
      <c r="H148"/>
      <c r="I148"/>
    </row>
    <row r="149" spans="2:9" x14ac:dyDescent="0.25">
      <c r="G149"/>
      <c r="H149"/>
      <c r="I149"/>
    </row>
    <row r="150" spans="2:9" x14ac:dyDescent="0.25">
      <c r="G150"/>
      <c r="H150"/>
      <c r="I150"/>
    </row>
    <row r="151" spans="2:9" x14ac:dyDescent="0.25">
      <c r="G151"/>
      <c r="H151"/>
      <c r="I151"/>
    </row>
    <row r="152" spans="2:9" x14ac:dyDescent="0.25">
      <c r="G152"/>
      <c r="H152"/>
      <c r="I152"/>
    </row>
    <row r="153" spans="2:9" x14ac:dyDescent="0.25">
      <c r="G153"/>
      <c r="H153"/>
      <c r="I153"/>
    </row>
    <row r="154" spans="2:9" x14ac:dyDescent="0.25">
      <c r="G154"/>
      <c r="H154"/>
      <c r="I154"/>
    </row>
    <row r="155" spans="2:9" x14ac:dyDescent="0.25">
      <c r="G155"/>
      <c r="H155"/>
      <c r="I155"/>
    </row>
    <row r="156" spans="2:9" x14ac:dyDescent="0.25">
      <c r="G156"/>
      <c r="H156"/>
      <c r="I156"/>
    </row>
    <row r="157" spans="2:9" x14ac:dyDescent="0.25">
      <c r="G157"/>
      <c r="H157"/>
      <c r="I157"/>
    </row>
    <row r="158" spans="2:9" x14ac:dyDescent="0.25">
      <c r="G158"/>
      <c r="H158"/>
      <c r="I158"/>
    </row>
    <row r="159" spans="2:9" x14ac:dyDescent="0.25">
      <c r="G159"/>
      <c r="H159"/>
      <c r="I159"/>
    </row>
    <row r="160" spans="2:9" x14ac:dyDescent="0.25">
      <c r="G160"/>
      <c r="H160"/>
      <c r="I160"/>
    </row>
    <row r="161" spans="7:9" x14ac:dyDescent="0.25">
      <c r="G161"/>
      <c r="H161"/>
      <c r="I161"/>
    </row>
    <row r="162" spans="7:9" x14ac:dyDescent="0.25">
      <c r="G162"/>
      <c r="H162"/>
      <c r="I162"/>
    </row>
    <row r="163" spans="7:9" x14ac:dyDescent="0.25">
      <c r="G163"/>
      <c r="H163"/>
      <c r="I163"/>
    </row>
    <row r="164" spans="7:9" x14ac:dyDescent="0.25">
      <c r="G164"/>
      <c r="H164"/>
      <c r="I164"/>
    </row>
    <row r="165" spans="7:9" x14ac:dyDescent="0.25">
      <c r="G165"/>
      <c r="H165"/>
      <c r="I165"/>
    </row>
    <row r="166" spans="7:9" x14ac:dyDescent="0.25">
      <c r="G166"/>
      <c r="H166"/>
      <c r="I166"/>
    </row>
    <row r="167" spans="7:9" x14ac:dyDescent="0.25">
      <c r="G167"/>
      <c r="H167"/>
      <c r="I167"/>
    </row>
    <row r="168" spans="7:9" x14ac:dyDescent="0.25">
      <c r="G168"/>
      <c r="H168"/>
      <c r="I168"/>
    </row>
    <row r="169" spans="7:9" x14ac:dyDescent="0.25">
      <c r="G169"/>
      <c r="H169"/>
      <c r="I169"/>
    </row>
    <row r="170" spans="7:9" x14ac:dyDescent="0.25">
      <c r="G170"/>
      <c r="H170"/>
      <c r="I170"/>
    </row>
    <row r="171" spans="7:9" x14ac:dyDescent="0.25">
      <c r="G171"/>
      <c r="H171"/>
      <c r="I171"/>
    </row>
    <row r="172" spans="7:9" x14ac:dyDescent="0.25">
      <c r="G172"/>
      <c r="H172"/>
      <c r="I172"/>
    </row>
    <row r="173" spans="7:9" x14ac:dyDescent="0.25">
      <c r="G173"/>
      <c r="H173"/>
      <c r="I173"/>
    </row>
    <row r="174" spans="7:9" x14ac:dyDescent="0.25">
      <c r="G174"/>
      <c r="H174"/>
      <c r="I174"/>
    </row>
    <row r="175" spans="7:9" x14ac:dyDescent="0.25">
      <c r="G175"/>
      <c r="H175"/>
      <c r="I175"/>
    </row>
    <row r="176" spans="7:9" x14ac:dyDescent="0.25">
      <c r="G176"/>
      <c r="H176"/>
      <c r="I176"/>
    </row>
    <row r="177" spans="7:9" x14ac:dyDescent="0.25">
      <c r="G177"/>
      <c r="H177"/>
      <c r="I177"/>
    </row>
    <row r="178" spans="7:9" x14ac:dyDescent="0.25">
      <c r="G178"/>
      <c r="H178"/>
      <c r="I178"/>
    </row>
    <row r="179" spans="7:9" x14ac:dyDescent="0.25">
      <c r="G179"/>
      <c r="H179"/>
      <c r="I179"/>
    </row>
    <row r="180" spans="7:9" x14ac:dyDescent="0.25">
      <c r="G180"/>
      <c r="H180"/>
      <c r="I180"/>
    </row>
    <row r="181" spans="7:9" x14ac:dyDescent="0.25">
      <c r="G181"/>
      <c r="H181"/>
      <c r="I181"/>
    </row>
    <row r="182" spans="7:9" x14ac:dyDescent="0.25">
      <c r="G182"/>
      <c r="H182"/>
      <c r="I182"/>
    </row>
    <row r="183" spans="7:9" x14ac:dyDescent="0.25">
      <c r="G183"/>
      <c r="H183"/>
      <c r="I183"/>
    </row>
    <row r="184" spans="7:9" x14ac:dyDescent="0.25">
      <c r="G184"/>
      <c r="H184"/>
      <c r="I184"/>
    </row>
    <row r="185" spans="7:9" x14ac:dyDescent="0.25">
      <c r="G185"/>
      <c r="H185"/>
      <c r="I185"/>
    </row>
    <row r="186" spans="7:9" x14ac:dyDescent="0.25">
      <c r="G186"/>
      <c r="H186"/>
      <c r="I186"/>
    </row>
    <row r="187" spans="7:9" x14ac:dyDescent="0.25">
      <c r="G187"/>
      <c r="H187"/>
      <c r="I187"/>
    </row>
    <row r="188" spans="7:9" x14ac:dyDescent="0.25">
      <c r="G188"/>
      <c r="H188"/>
      <c r="I188"/>
    </row>
    <row r="189" spans="7:9" x14ac:dyDescent="0.25">
      <c r="G189"/>
      <c r="H189"/>
      <c r="I189"/>
    </row>
    <row r="190" spans="7:9" x14ac:dyDescent="0.25">
      <c r="G190"/>
      <c r="H190"/>
      <c r="I190"/>
    </row>
    <row r="191" spans="7:9" x14ac:dyDescent="0.25">
      <c r="G191"/>
      <c r="H191"/>
      <c r="I191"/>
    </row>
    <row r="192" spans="7:9" x14ac:dyDescent="0.25">
      <c r="G192"/>
      <c r="H192"/>
      <c r="I192"/>
    </row>
    <row r="193" spans="7:9" x14ac:dyDescent="0.25">
      <c r="G193"/>
      <c r="H193"/>
      <c r="I193"/>
    </row>
    <row r="194" spans="7:9" x14ac:dyDescent="0.25">
      <c r="G194"/>
      <c r="H194"/>
      <c r="I194"/>
    </row>
    <row r="195" spans="7:9" x14ac:dyDescent="0.25">
      <c r="G195"/>
      <c r="H195"/>
      <c r="I195"/>
    </row>
    <row r="196" spans="7:9" x14ac:dyDescent="0.25">
      <c r="G196"/>
      <c r="H196"/>
      <c r="I196"/>
    </row>
    <row r="197" spans="7:9" x14ac:dyDescent="0.25">
      <c r="G197"/>
      <c r="H197"/>
      <c r="I197"/>
    </row>
    <row r="198" spans="7:9" x14ac:dyDescent="0.25">
      <c r="G198"/>
      <c r="H198"/>
      <c r="I198"/>
    </row>
    <row r="199" spans="7:9" x14ac:dyDescent="0.25">
      <c r="G199"/>
      <c r="H199"/>
      <c r="I199"/>
    </row>
    <row r="200" spans="7:9" x14ac:dyDescent="0.25">
      <c r="G200"/>
      <c r="H200"/>
      <c r="I200"/>
    </row>
    <row r="201" spans="7:9" x14ac:dyDescent="0.25">
      <c r="G201"/>
      <c r="H201"/>
      <c r="I201"/>
    </row>
    <row r="202" spans="7:9" x14ac:dyDescent="0.25">
      <c r="G202"/>
      <c r="H202"/>
      <c r="I202"/>
    </row>
    <row r="203" spans="7:9" x14ac:dyDescent="0.25">
      <c r="G203"/>
      <c r="H203"/>
      <c r="I203"/>
    </row>
    <row r="204" spans="7:9" x14ac:dyDescent="0.25">
      <c r="G204"/>
      <c r="H204"/>
      <c r="I204"/>
    </row>
    <row r="205" spans="7:9" x14ac:dyDescent="0.25">
      <c r="G205"/>
      <c r="H205"/>
      <c r="I205"/>
    </row>
    <row r="206" spans="7:9" x14ac:dyDescent="0.25">
      <c r="G206"/>
      <c r="H206"/>
      <c r="I206"/>
    </row>
    <row r="207" spans="7:9" x14ac:dyDescent="0.25">
      <c r="G207"/>
      <c r="H207"/>
      <c r="I207"/>
    </row>
    <row r="208" spans="7:9" x14ac:dyDescent="0.25">
      <c r="G208"/>
      <c r="H208"/>
      <c r="I208"/>
    </row>
    <row r="209" spans="7:9" x14ac:dyDescent="0.25">
      <c r="G209"/>
      <c r="H209"/>
      <c r="I209"/>
    </row>
    <row r="210" spans="7:9" x14ac:dyDescent="0.25">
      <c r="G210"/>
      <c r="H210"/>
      <c r="I210"/>
    </row>
    <row r="211" spans="7:9" x14ac:dyDescent="0.25">
      <c r="G211"/>
      <c r="H211"/>
      <c r="I211"/>
    </row>
    <row r="212" spans="7:9" x14ac:dyDescent="0.25">
      <c r="G212"/>
      <c r="H212"/>
      <c r="I212"/>
    </row>
    <row r="213" spans="7:9" x14ac:dyDescent="0.25">
      <c r="G213"/>
      <c r="H213"/>
      <c r="I213"/>
    </row>
    <row r="214" spans="7:9" x14ac:dyDescent="0.25">
      <c r="G214"/>
      <c r="H214"/>
      <c r="I214"/>
    </row>
    <row r="215" spans="7:9" x14ac:dyDescent="0.25">
      <c r="G215"/>
      <c r="H215"/>
      <c r="I215"/>
    </row>
    <row r="216" spans="7:9" x14ac:dyDescent="0.25">
      <c r="G216"/>
      <c r="H216"/>
      <c r="I216"/>
    </row>
    <row r="217" spans="7:9" x14ac:dyDescent="0.25">
      <c r="G217"/>
      <c r="H217"/>
      <c r="I217"/>
    </row>
    <row r="218" spans="7:9" x14ac:dyDescent="0.25">
      <c r="G218"/>
      <c r="H218"/>
      <c r="I218"/>
    </row>
    <row r="219" spans="7:9" x14ac:dyDescent="0.25">
      <c r="G219"/>
      <c r="H219"/>
      <c r="I219"/>
    </row>
    <row r="220" spans="7:9" x14ac:dyDescent="0.25">
      <c r="G220"/>
      <c r="H220"/>
      <c r="I220"/>
    </row>
    <row r="221" spans="7:9" x14ac:dyDescent="0.25">
      <c r="G221"/>
      <c r="H221"/>
      <c r="I221"/>
    </row>
    <row r="222" spans="7:9" x14ac:dyDescent="0.25">
      <c r="G222"/>
      <c r="H222"/>
      <c r="I222"/>
    </row>
    <row r="223" spans="7:9" x14ac:dyDescent="0.25">
      <c r="G223"/>
      <c r="H223"/>
      <c r="I223"/>
    </row>
    <row r="224" spans="7:9" x14ac:dyDescent="0.25">
      <c r="G224"/>
      <c r="H224"/>
      <c r="I224"/>
    </row>
    <row r="225" spans="7:9" x14ac:dyDescent="0.25">
      <c r="G225"/>
      <c r="H225"/>
      <c r="I225"/>
    </row>
    <row r="226" spans="7:9" x14ac:dyDescent="0.25">
      <c r="G226"/>
      <c r="H226"/>
      <c r="I226"/>
    </row>
    <row r="227" spans="7:9" x14ac:dyDescent="0.25">
      <c r="H227"/>
      <c r="I227"/>
    </row>
  </sheetData>
  <mergeCells count="1">
    <mergeCell ref="C1:H1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390A7-14A6-4943-8C07-9EA1D2F29CB4}">
  <dimension ref="A1:L234"/>
  <sheetViews>
    <sheetView topLeftCell="A40" zoomScaleNormal="100" workbookViewId="0">
      <selection activeCell="F23" sqref="F23:F67"/>
    </sheetView>
  </sheetViews>
  <sheetFormatPr defaultColWidth="9.140625" defaultRowHeight="15" x14ac:dyDescent="0.25"/>
  <cols>
    <col min="1" max="1" width="29.5703125" style="100" customWidth="1"/>
    <col min="2" max="2" width="45.28515625" style="100" customWidth="1"/>
    <col min="3" max="3" width="29.7109375" style="100" customWidth="1"/>
    <col min="4" max="4" width="21.42578125" style="100" customWidth="1"/>
    <col min="5" max="5" width="17.42578125" style="100" customWidth="1"/>
    <col min="6" max="6" width="16.42578125" style="100" customWidth="1"/>
    <col min="7" max="7" width="17.140625" style="100" customWidth="1"/>
    <col min="8" max="8" width="16.85546875" style="100" bestFit="1" customWidth="1"/>
    <col min="9" max="16384" width="9.140625" style="100"/>
  </cols>
  <sheetData>
    <row r="1" spans="1:8" customFormat="1" ht="21.75" customHeight="1" x14ac:dyDescent="0.25">
      <c r="A1" s="87"/>
      <c r="B1" s="118" t="s">
        <v>0</v>
      </c>
      <c r="C1" s="119"/>
      <c r="D1" s="119"/>
      <c r="E1" s="119"/>
      <c r="F1" s="119"/>
      <c r="G1" s="120"/>
      <c r="H1" s="88"/>
    </row>
    <row r="2" spans="1:8" customFormat="1" ht="30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3"/>
      <c r="F2" s="4" t="s">
        <v>5</v>
      </c>
      <c r="G2" s="89"/>
      <c r="H2" s="6"/>
    </row>
    <row r="3" spans="1:8" customFormat="1" ht="30.6" customHeight="1" x14ac:dyDescent="0.25">
      <c r="A3" s="7">
        <v>1</v>
      </c>
      <c r="B3" s="8" t="s">
        <v>6</v>
      </c>
      <c r="C3" s="8"/>
      <c r="D3" s="9">
        <v>45901</v>
      </c>
      <c r="E3" s="9"/>
      <c r="F3" s="10">
        <f>548.46+550+5000</f>
        <v>6098.46</v>
      </c>
      <c r="G3" s="89"/>
      <c r="H3" s="6"/>
    </row>
    <row r="4" spans="1:8" customFormat="1" ht="30.6" customHeight="1" x14ac:dyDescent="0.25">
      <c r="A4" s="7">
        <v>2</v>
      </c>
      <c r="B4" s="8" t="s">
        <v>8</v>
      </c>
      <c r="C4" s="8" t="s">
        <v>9</v>
      </c>
      <c r="D4" s="9">
        <v>45901</v>
      </c>
      <c r="E4" s="9"/>
      <c r="F4" s="10">
        <v>39590</v>
      </c>
      <c r="G4" s="89"/>
      <c r="H4" s="11"/>
    </row>
    <row r="5" spans="1:8" customFormat="1" ht="30.6" customHeight="1" x14ac:dyDescent="0.25">
      <c r="A5" s="7">
        <v>3</v>
      </c>
      <c r="B5" s="8" t="s">
        <v>10</v>
      </c>
      <c r="C5" s="12" t="s">
        <v>11</v>
      </c>
      <c r="D5" s="9">
        <v>45901</v>
      </c>
      <c r="E5" s="9"/>
      <c r="F5" s="10">
        <v>39510.6</v>
      </c>
      <c r="G5" s="89"/>
      <c r="H5" s="11"/>
    </row>
    <row r="6" spans="1:8" customFormat="1" ht="30.6" customHeight="1" x14ac:dyDescent="0.25">
      <c r="A6" s="7">
        <v>4</v>
      </c>
      <c r="B6" s="8" t="s">
        <v>189</v>
      </c>
      <c r="C6" s="12" t="s">
        <v>190</v>
      </c>
      <c r="D6" s="9">
        <v>45901</v>
      </c>
      <c r="E6" s="9"/>
      <c r="F6" s="10">
        <v>24000</v>
      </c>
      <c r="G6" s="89"/>
      <c r="H6" s="11"/>
    </row>
    <row r="7" spans="1:8" customFormat="1" ht="30.6" customHeight="1" x14ac:dyDescent="0.25">
      <c r="A7" s="7">
        <v>5</v>
      </c>
      <c r="B7" s="8" t="s">
        <v>191</v>
      </c>
      <c r="C7" s="8"/>
      <c r="D7" s="9">
        <v>45901</v>
      </c>
      <c r="E7" s="9"/>
      <c r="F7" s="10">
        <v>300</v>
      </c>
      <c r="G7" s="89"/>
      <c r="H7" s="6"/>
    </row>
    <row r="8" spans="1:8" customFormat="1" ht="30.6" customHeight="1" x14ac:dyDescent="0.25">
      <c r="A8" s="7">
        <v>6</v>
      </c>
      <c r="B8" s="8" t="s">
        <v>12</v>
      </c>
      <c r="C8" s="8"/>
      <c r="D8" s="9">
        <v>45901</v>
      </c>
      <c r="E8" s="9"/>
      <c r="F8" s="10">
        <v>459.91</v>
      </c>
      <c r="G8" s="89"/>
      <c r="H8" s="6"/>
    </row>
    <row r="9" spans="1:8" customFormat="1" ht="30.6" customHeight="1" x14ac:dyDescent="0.25">
      <c r="A9" s="7">
        <v>7</v>
      </c>
      <c r="B9" s="8" t="s">
        <v>13</v>
      </c>
      <c r="C9" s="8" t="s">
        <v>14</v>
      </c>
      <c r="D9" s="9">
        <v>45901</v>
      </c>
      <c r="E9" s="9"/>
      <c r="F9" s="13">
        <v>1518</v>
      </c>
      <c r="G9" s="89"/>
      <c r="H9" s="6"/>
    </row>
    <row r="10" spans="1:8" customFormat="1" ht="30.6" customHeight="1" x14ac:dyDescent="0.25">
      <c r="A10" s="7">
        <v>8</v>
      </c>
      <c r="B10" s="8" t="s">
        <v>15</v>
      </c>
      <c r="C10" s="8" t="s">
        <v>16</v>
      </c>
      <c r="D10" s="9">
        <v>45901</v>
      </c>
      <c r="E10" s="9"/>
      <c r="F10" s="13">
        <v>2500</v>
      </c>
      <c r="G10" s="89"/>
      <c r="H10" s="6"/>
    </row>
    <row r="11" spans="1:8" customFormat="1" ht="34.5" customHeight="1" x14ac:dyDescent="0.25">
      <c r="A11" s="7">
        <v>9</v>
      </c>
      <c r="B11" s="14" t="s">
        <v>17</v>
      </c>
      <c r="C11" s="12" t="s">
        <v>18</v>
      </c>
      <c r="D11" s="9">
        <v>45901</v>
      </c>
      <c r="E11" s="9"/>
      <c r="F11" s="13">
        <v>1274</v>
      </c>
      <c r="G11" s="89"/>
      <c r="H11" s="6"/>
    </row>
    <row r="12" spans="1:8" customFormat="1" ht="30.6" customHeight="1" x14ac:dyDescent="0.25">
      <c r="A12" s="7">
        <v>10</v>
      </c>
      <c r="B12" s="14" t="s">
        <v>19</v>
      </c>
      <c r="C12" s="14" t="s">
        <v>20</v>
      </c>
      <c r="D12" s="9">
        <v>45901</v>
      </c>
      <c r="E12" s="9"/>
      <c r="F12" s="13">
        <v>227.75</v>
      </c>
      <c r="G12" s="89"/>
      <c r="H12" s="6"/>
    </row>
    <row r="13" spans="1:8" customFormat="1" ht="30.6" customHeight="1" x14ac:dyDescent="0.25">
      <c r="A13" s="7">
        <v>11</v>
      </c>
      <c r="B13" s="14" t="s">
        <v>149</v>
      </c>
      <c r="C13" s="14" t="s">
        <v>150</v>
      </c>
      <c r="D13" s="9">
        <v>45901</v>
      </c>
      <c r="E13" s="9"/>
      <c r="F13" s="13">
        <v>149.9</v>
      </c>
      <c r="G13" s="89"/>
      <c r="H13" s="6"/>
    </row>
    <row r="14" spans="1:8" customFormat="1" ht="30.6" customHeight="1" x14ac:dyDescent="0.25">
      <c r="A14" s="7">
        <v>12</v>
      </c>
      <c r="B14" s="14" t="s">
        <v>21</v>
      </c>
      <c r="C14" s="12" t="s">
        <v>22</v>
      </c>
      <c r="D14" s="9">
        <v>45901</v>
      </c>
      <c r="E14" s="9"/>
      <c r="F14" s="13">
        <v>308</v>
      </c>
      <c r="G14" s="89"/>
      <c r="H14" s="15"/>
    </row>
    <row r="15" spans="1:8" customFormat="1" ht="30.6" customHeight="1" x14ac:dyDescent="0.25">
      <c r="A15" s="7">
        <v>13</v>
      </c>
      <c r="B15" s="14" t="s">
        <v>23</v>
      </c>
      <c r="C15" s="8"/>
      <c r="D15" s="9">
        <v>45901</v>
      </c>
      <c r="E15" s="9"/>
      <c r="F15" s="13">
        <v>80</v>
      </c>
      <c r="G15" s="89"/>
      <c r="H15" s="6"/>
    </row>
    <row r="16" spans="1:8" customFormat="1" ht="31.5" customHeight="1" x14ac:dyDescent="0.25">
      <c r="A16" s="7">
        <v>14</v>
      </c>
      <c r="B16" s="14" t="s">
        <v>24</v>
      </c>
      <c r="C16" s="12" t="s">
        <v>25</v>
      </c>
      <c r="D16" s="9">
        <v>45901</v>
      </c>
      <c r="E16" s="9"/>
      <c r="F16" s="13">
        <v>474.1</v>
      </c>
      <c r="G16" s="89"/>
      <c r="H16" s="6"/>
    </row>
    <row r="17" spans="1:12" customFormat="1" ht="31.5" customHeight="1" x14ac:dyDescent="0.25">
      <c r="A17" s="7">
        <v>15</v>
      </c>
      <c r="B17" s="14" t="s">
        <v>192</v>
      </c>
      <c r="C17" s="12" t="s">
        <v>193</v>
      </c>
      <c r="D17" s="9">
        <v>45901</v>
      </c>
      <c r="E17" s="9"/>
      <c r="F17" s="13">
        <v>7.23</v>
      </c>
      <c r="G17" s="89"/>
      <c r="H17" s="6"/>
    </row>
    <row r="18" spans="1:12" customFormat="1" ht="31.5" customHeight="1" x14ac:dyDescent="0.25">
      <c r="A18" s="7">
        <v>16</v>
      </c>
      <c r="B18" s="14" t="s">
        <v>26</v>
      </c>
      <c r="C18" s="12" t="s">
        <v>194</v>
      </c>
      <c r="D18" s="9">
        <v>45901</v>
      </c>
      <c r="E18" s="9"/>
      <c r="F18" s="13">
        <v>73.900000000000006</v>
      </c>
      <c r="G18" s="89"/>
      <c r="H18" s="6"/>
    </row>
    <row r="19" spans="1:12" customFormat="1" ht="31.5" customHeight="1" x14ac:dyDescent="0.25">
      <c r="A19" s="7">
        <v>17</v>
      </c>
      <c r="B19" s="14" t="s">
        <v>26</v>
      </c>
      <c r="C19" s="12" t="s">
        <v>195</v>
      </c>
      <c r="D19" s="9">
        <v>45901</v>
      </c>
      <c r="E19" s="9"/>
      <c r="F19" s="13">
        <v>190.9</v>
      </c>
      <c r="G19" s="89"/>
      <c r="H19" s="6"/>
    </row>
    <row r="20" spans="1:12" customFormat="1" ht="31.5" customHeight="1" x14ac:dyDescent="0.25">
      <c r="A20" s="7">
        <v>18</v>
      </c>
      <c r="B20" s="14" t="s">
        <v>196</v>
      </c>
      <c r="C20" s="12" t="s">
        <v>197</v>
      </c>
      <c r="D20" s="9">
        <v>45901</v>
      </c>
      <c r="E20" s="9"/>
      <c r="F20" s="13">
        <v>4726.17</v>
      </c>
      <c r="G20" s="89"/>
      <c r="H20" s="6"/>
    </row>
    <row r="21" spans="1:12" customFormat="1" ht="42" customHeight="1" x14ac:dyDescent="0.25">
      <c r="A21" s="90"/>
      <c r="B21" s="91" t="s">
        <v>31</v>
      </c>
      <c r="C21" s="92"/>
      <c r="D21" s="2"/>
      <c r="E21" s="93"/>
      <c r="F21" s="94">
        <f>SUM(F3:F20)</f>
        <v>121488.91999999998</v>
      </c>
      <c r="G21" s="95"/>
      <c r="H21" s="6"/>
    </row>
    <row r="22" spans="1:12" customFormat="1" ht="21.75" customHeight="1" x14ac:dyDescent="0.25">
      <c r="A22" s="17" t="s">
        <v>32</v>
      </c>
      <c r="B22" s="17" t="s">
        <v>33</v>
      </c>
      <c r="C22" s="96" t="s">
        <v>34</v>
      </c>
      <c r="D22" s="17" t="s">
        <v>35</v>
      </c>
      <c r="E22" s="17" t="s">
        <v>36</v>
      </c>
      <c r="F22" s="17" t="s">
        <v>37</v>
      </c>
      <c r="G22" s="97" t="s">
        <v>38</v>
      </c>
      <c r="H22" s="96" t="s">
        <v>39</v>
      </c>
    </row>
    <row r="23" spans="1:12" s="27" customFormat="1" ht="15" customHeight="1" x14ac:dyDescent="0.25">
      <c r="A23" s="20" t="s">
        <v>40</v>
      </c>
      <c r="B23" s="21" t="s">
        <v>41</v>
      </c>
      <c r="C23" s="22" t="s">
        <v>42</v>
      </c>
      <c r="D23" s="23">
        <v>4016</v>
      </c>
      <c r="E23" s="24">
        <f>D23/$D$68</f>
        <v>1.2655614264944527E-2</v>
      </c>
      <c r="F23" s="25">
        <f>$F$21*E23</f>
        <v>1537.5169089847043</v>
      </c>
      <c r="G23" s="26">
        <f>F23*5%</f>
        <v>76.875845449235214</v>
      </c>
      <c r="H23" s="26">
        <f t="shared" ref="H23:H67" si="0">F23+G23</f>
        <v>1614.3927544339394</v>
      </c>
    </row>
    <row r="24" spans="1:12" customFormat="1" x14ac:dyDescent="0.25">
      <c r="A24" s="20" t="s">
        <v>43</v>
      </c>
      <c r="B24" s="28" t="s">
        <v>44</v>
      </c>
      <c r="C24" s="22">
        <v>18778225000139</v>
      </c>
      <c r="D24" s="23">
        <v>8711.2199999999993</v>
      </c>
      <c r="E24" s="24">
        <f t="shared" ref="E24:E67" si="1">D24/$D$68</f>
        <v>2.7451653410625016E-2</v>
      </c>
      <c r="F24" s="25">
        <f t="shared" ref="F24:F67" si="2">$F$21*E24</f>
        <v>3335.0717250711491</v>
      </c>
      <c r="G24" s="26">
        <f t="shared" ref="G24:G67" si="3">F24*5%</f>
        <v>166.75358625355747</v>
      </c>
      <c r="H24" s="26">
        <f t="shared" si="0"/>
        <v>3501.8253113247065</v>
      </c>
    </row>
    <row r="25" spans="1:12" customFormat="1" x14ac:dyDescent="0.25">
      <c r="A25" s="20" t="s">
        <v>45</v>
      </c>
      <c r="B25" s="28" t="s">
        <v>46</v>
      </c>
      <c r="C25" s="22">
        <v>41993875000119</v>
      </c>
      <c r="D25" s="23">
        <v>3641.8</v>
      </c>
      <c r="E25" s="24">
        <f t="shared" si="1"/>
        <v>1.1476398413863293E-2</v>
      </c>
      <c r="F25" s="25">
        <f t="shared" si="2"/>
        <v>1394.2552487899643</v>
      </c>
      <c r="G25" s="26">
        <f t="shared" si="3"/>
        <v>69.712762439498221</v>
      </c>
      <c r="H25" s="26">
        <f t="shared" si="0"/>
        <v>1463.9680112294625</v>
      </c>
    </row>
    <row r="26" spans="1:12" customFormat="1" x14ac:dyDescent="0.25">
      <c r="A26" s="20" t="s">
        <v>47</v>
      </c>
      <c r="B26" s="21" t="s">
        <v>48</v>
      </c>
      <c r="C26" s="22">
        <v>24781302000102</v>
      </c>
      <c r="D26" s="23">
        <v>3430</v>
      </c>
      <c r="E26" s="24">
        <f t="shared" si="1"/>
        <v>1.0808953418515869E-2</v>
      </c>
      <c r="F26" s="25">
        <f t="shared" si="2"/>
        <v>1313.1680771458007</v>
      </c>
      <c r="G26" s="26">
        <f t="shared" si="3"/>
        <v>65.65840385729004</v>
      </c>
      <c r="H26" s="26">
        <f t="shared" si="0"/>
        <v>1378.8264810030907</v>
      </c>
    </row>
    <row r="27" spans="1:12" customFormat="1" x14ac:dyDescent="0.25">
      <c r="A27" s="20" t="s">
        <v>161</v>
      </c>
      <c r="B27" s="21" t="s">
        <v>162</v>
      </c>
      <c r="C27" s="22" t="s">
        <v>163</v>
      </c>
      <c r="D27" s="23">
        <v>9403</v>
      </c>
      <c r="E27" s="24">
        <f t="shared" si="1"/>
        <v>2.9631658598922656E-2</v>
      </c>
      <c r="F27" s="25">
        <f t="shared" si="2"/>
        <v>3599.9182009918263</v>
      </c>
      <c r="G27" s="26">
        <f t="shared" si="3"/>
        <v>179.99591004959132</v>
      </c>
      <c r="H27" s="26">
        <f t="shared" si="0"/>
        <v>3779.9141110414175</v>
      </c>
    </row>
    <row r="28" spans="1:12" customFormat="1" x14ac:dyDescent="0.25">
      <c r="A28" s="20" t="s">
        <v>49</v>
      </c>
      <c r="B28" s="21" t="s">
        <v>50</v>
      </c>
      <c r="C28" s="22">
        <v>38649716000197</v>
      </c>
      <c r="D28" s="23">
        <v>3440</v>
      </c>
      <c r="E28" s="24">
        <f t="shared" si="1"/>
        <v>1.084046640224332E-2</v>
      </c>
      <c r="F28" s="25">
        <f t="shared" si="2"/>
        <v>1316.9965555048263</v>
      </c>
      <c r="G28" s="26">
        <f t="shared" si="3"/>
        <v>65.849827775241323</v>
      </c>
      <c r="H28" s="26">
        <f t="shared" si="0"/>
        <v>1382.8463832800676</v>
      </c>
    </row>
    <row r="29" spans="1:12" customFormat="1" x14ac:dyDescent="0.25">
      <c r="A29" s="20" t="s">
        <v>51</v>
      </c>
      <c r="B29" s="21" t="s">
        <v>52</v>
      </c>
      <c r="C29" s="22" t="s">
        <v>53</v>
      </c>
      <c r="D29" s="23">
        <v>4056</v>
      </c>
      <c r="E29" s="24">
        <f t="shared" si="1"/>
        <v>1.2781666199854333E-2</v>
      </c>
      <c r="F29" s="25">
        <f t="shared" si="2"/>
        <v>1552.830822420807</v>
      </c>
      <c r="G29" s="26">
        <f t="shared" si="3"/>
        <v>77.641541121040348</v>
      </c>
      <c r="H29" s="26">
        <f t="shared" si="0"/>
        <v>1630.4723635418472</v>
      </c>
    </row>
    <row r="30" spans="1:12" customFormat="1" x14ac:dyDescent="0.25">
      <c r="A30" s="20" t="s">
        <v>54</v>
      </c>
      <c r="B30" s="21" t="s">
        <v>55</v>
      </c>
      <c r="C30" s="22" t="s">
        <v>56</v>
      </c>
      <c r="D30" s="23">
        <v>11580</v>
      </c>
      <c r="E30" s="24">
        <f t="shared" si="1"/>
        <v>3.6492035156388852E-2</v>
      </c>
      <c r="F30" s="25">
        <f t="shared" si="2"/>
        <v>4433.3779397517119</v>
      </c>
      <c r="G30" s="26">
        <f t="shared" si="3"/>
        <v>221.66889698758561</v>
      </c>
      <c r="H30" s="26">
        <f t="shared" si="0"/>
        <v>4655.0468367392978</v>
      </c>
    </row>
    <row r="31" spans="1:12" customFormat="1" x14ac:dyDescent="0.25">
      <c r="A31" s="20" t="s">
        <v>57</v>
      </c>
      <c r="B31" s="21" t="s">
        <v>58</v>
      </c>
      <c r="C31" s="22" t="s">
        <v>178</v>
      </c>
      <c r="D31" s="23">
        <f>360+360+1510</f>
        <v>2230</v>
      </c>
      <c r="E31" s="24">
        <f t="shared" si="1"/>
        <v>7.0273953712216876E-3</v>
      </c>
      <c r="F31" s="25">
        <f t="shared" si="2"/>
        <v>853.75067406272183</v>
      </c>
      <c r="G31" s="26">
        <f t="shared" si="3"/>
        <v>42.687533703136097</v>
      </c>
      <c r="H31" s="26">
        <f t="shared" si="0"/>
        <v>896.4382077658579</v>
      </c>
    </row>
    <row r="32" spans="1:12" s="33" customFormat="1" ht="15.75" customHeight="1" x14ac:dyDescent="0.25">
      <c r="A32" s="20" t="s">
        <v>60</v>
      </c>
      <c r="B32" s="29" t="s">
        <v>61</v>
      </c>
      <c r="C32" s="30" t="s">
        <v>62</v>
      </c>
      <c r="D32" s="23">
        <f>5224+3930</f>
        <v>9154</v>
      </c>
      <c r="E32" s="24">
        <f t="shared" si="1"/>
        <v>2.8846985304109115E-2</v>
      </c>
      <c r="F32" s="25">
        <f t="shared" si="2"/>
        <v>3504.5890898520875</v>
      </c>
      <c r="G32" s="26">
        <f t="shared" si="3"/>
        <v>175.22945449260439</v>
      </c>
      <c r="H32" s="31">
        <f t="shared" si="0"/>
        <v>3679.8185443446919</v>
      </c>
      <c r="I32" s="32" t="s">
        <v>63</v>
      </c>
      <c r="L32" s="33" t="s">
        <v>64</v>
      </c>
    </row>
    <row r="33" spans="1:12" customFormat="1" ht="15.75" customHeight="1" x14ac:dyDescent="0.25">
      <c r="A33" s="20" t="s">
        <v>65</v>
      </c>
      <c r="B33" s="28" t="s">
        <v>66</v>
      </c>
      <c r="C33" s="22" t="s">
        <v>67</v>
      </c>
      <c r="D33" s="23">
        <v>2610</v>
      </c>
      <c r="E33" s="24">
        <f t="shared" si="1"/>
        <v>8.2248887528648448E-3</v>
      </c>
      <c r="F33" s="25">
        <f t="shared" si="2"/>
        <v>999.23285170569682</v>
      </c>
      <c r="G33" s="26">
        <f t="shared" si="3"/>
        <v>49.961642585284842</v>
      </c>
      <c r="H33" s="26">
        <f t="shared" si="0"/>
        <v>1049.1944942909818</v>
      </c>
    </row>
    <row r="34" spans="1:12" customFormat="1" ht="15.75" customHeight="1" x14ac:dyDescent="0.25">
      <c r="A34" s="20" t="s">
        <v>68</v>
      </c>
      <c r="B34" s="28" t="s">
        <v>69</v>
      </c>
      <c r="C34" s="22" t="s">
        <v>70</v>
      </c>
      <c r="D34" s="23">
        <v>5515</v>
      </c>
      <c r="E34" s="24">
        <f t="shared" si="1"/>
        <v>1.7379410525689511E-2</v>
      </c>
      <c r="F34" s="25">
        <f t="shared" si="2"/>
        <v>2111.4058150026508</v>
      </c>
      <c r="G34" s="26">
        <f t="shared" si="3"/>
        <v>105.57029075013254</v>
      </c>
      <c r="H34" s="26">
        <f t="shared" si="0"/>
        <v>2216.9761057527835</v>
      </c>
    </row>
    <row r="35" spans="1:12" customFormat="1" ht="15.75" customHeight="1" x14ac:dyDescent="0.25">
      <c r="A35" s="20" t="s">
        <v>71</v>
      </c>
      <c r="B35" s="21" t="s">
        <v>72</v>
      </c>
      <c r="C35" s="22">
        <v>17202383000183</v>
      </c>
      <c r="D35" s="23">
        <v>15332</v>
      </c>
      <c r="E35" s="24">
        <f t="shared" si="1"/>
        <v>4.8315706650928658E-2</v>
      </c>
      <c r="F35" s="25">
        <f t="shared" si="2"/>
        <v>5869.8230200581393</v>
      </c>
      <c r="G35" s="26">
        <f t="shared" si="3"/>
        <v>293.49115100290697</v>
      </c>
      <c r="H35" s="26">
        <f t="shared" si="0"/>
        <v>6163.3141710610462</v>
      </c>
    </row>
    <row r="36" spans="1:12" customFormat="1" ht="15.75" customHeight="1" x14ac:dyDescent="0.25">
      <c r="A36" s="20" t="s">
        <v>73</v>
      </c>
      <c r="B36" s="21" t="s">
        <v>74</v>
      </c>
      <c r="C36" s="22">
        <v>18183488000103</v>
      </c>
      <c r="D36" s="23">
        <v>7238</v>
      </c>
      <c r="E36" s="24">
        <f t="shared" si="1"/>
        <v>2.2809097621929404E-2</v>
      </c>
      <c r="F36" s="25">
        <f t="shared" si="2"/>
        <v>2771.0526362627711</v>
      </c>
      <c r="G36" s="26">
        <f t="shared" si="3"/>
        <v>138.55263181313856</v>
      </c>
      <c r="H36" s="26">
        <f t="shared" si="0"/>
        <v>2909.6052680759099</v>
      </c>
    </row>
    <row r="37" spans="1:12" customFormat="1" x14ac:dyDescent="0.25">
      <c r="A37" s="20" t="s">
        <v>75</v>
      </c>
      <c r="B37" s="21" t="s">
        <v>76</v>
      </c>
      <c r="C37" s="22">
        <v>18244070000150</v>
      </c>
      <c r="D37" s="23">
        <v>5941</v>
      </c>
      <c r="E37" s="24">
        <f t="shared" si="1"/>
        <v>1.8721863632478943E-2</v>
      </c>
      <c r="F37" s="25">
        <f t="shared" si="2"/>
        <v>2274.4989930971433</v>
      </c>
      <c r="G37" s="26">
        <f t="shared" si="3"/>
        <v>113.72494965485717</v>
      </c>
      <c r="H37" s="26">
        <f t="shared" si="0"/>
        <v>2388.2239427520003</v>
      </c>
    </row>
    <row r="38" spans="1:12" customFormat="1" x14ac:dyDescent="0.25">
      <c r="A38" s="20" t="s">
        <v>77</v>
      </c>
      <c r="B38" s="21" t="s">
        <v>78</v>
      </c>
      <c r="C38" s="22">
        <v>18244039000110</v>
      </c>
      <c r="D38" s="23">
        <v>4460</v>
      </c>
      <c r="E38" s="24">
        <f t="shared" si="1"/>
        <v>1.4054790742443375E-2</v>
      </c>
      <c r="F38" s="25">
        <f t="shared" si="2"/>
        <v>1707.5013481254437</v>
      </c>
      <c r="G38" s="26">
        <f t="shared" si="3"/>
        <v>85.375067406272194</v>
      </c>
      <c r="H38" s="26">
        <f t="shared" si="0"/>
        <v>1792.8764155317158</v>
      </c>
    </row>
    <row r="39" spans="1:12" customFormat="1" x14ac:dyDescent="0.25">
      <c r="A39" s="20" t="s">
        <v>79</v>
      </c>
      <c r="B39" s="21" t="s">
        <v>153</v>
      </c>
      <c r="C39" s="22" t="s">
        <v>154</v>
      </c>
      <c r="D39" s="23">
        <v>4415</v>
      </c>
      <c r="E39" s="24">
        <f t="shared" si="1"/>
        <v>1.3912982315669844E-2</v>
      </c>
      <c r="F39" s="25">
        <f t="shared" si="2"/>
        <v>1690.2731955098282</v>
      </c>
      <c r="G39" s="26">
        <f t="shared" si="3"/>
        <v>84.513659775491419</v>
      </c>
      <c r="H39" s="26">
        <f t="shared" si="0"/>
        <v>1774.7868552853197</v>
      </c>
    </row>
    <row r="40" spans="1:12" customFormat="1" x14ac:dyDescent="0.25">
      <c r="A40" s="20" t="s">
        <v>81</v>
      </c>
      <c r="B40" s="21" t="s">
        <v>82</v>
      </c>
      <c r="C40" s="22" t="s">
        <v>83</v>
      </c>
      <c r="D40" s="23">
        <v>8673</v>
      </c>
      <c r="E40" s="24">
        <f t="shared" si="1"/>
        <v>2.7331210786818699E-2</v>
      </c>
      <c r="F40" s="25">
        <f t="shared" si="2"/>
        <v>3320.4392807829536</v>
      </c>
      <c r="G40" s="26">
        <f t="shared" si="3"/>
        <v>166.02196403914769</v>
      </c>
      <c r="H40" s="26">
        <f t="shared" si="0"/>
        <v>3486.4612448221014</v>
      </c>
    </row>
    <row r="41" spans="1:12" customFormat="1" x14ac:dyDescent="0.25">
      <c r="A41" s="20" t="s">
        <v>84</v>
      </c>
      <c r="B41" s="21" t="s">
        <v>155</v>
      </c>
      <c r="C41" s="22" t="s">
        <v>86</v>
      </c>
      <c r="D41" s="23">
        <v>9239</v>
      </c>
      <c r="E41" s="24">
        <f t="shared" si="1"/>
        <v>2.9114845665792453E-2</v>
      </c>
      <c r="F41" s="25">
        <f t="shared" si="2"/>
        <v>3537.1311559038054</v>
      </c>
      <c r="G41" s="26">
        <f t="shared" si="3"/>
        <v>176.85655779519027</v>
      </c>
      <c r="H41" s="26">
        <f t="shared" si="0"/>
        <v>3713.9877136989958</v>
      </c>
    </row>
    <row r="42" spans="1:12" customFormat="1" x14ac:dyDescent="0.25">
      <c r="A42" s="20" t="s">
        <v>87</v>
      </c>
      <c r="B42" s="21" t="s">
        <v>88</v>
      </c>
      <c r="C42" s="22" t="s">
        <v>89</v>
      </c>
      <c r="D42" s="23">
        <v>4892</v>
      </c>
      <c r="E42" s="24">
        <f t="shared" si="1"/>
        <v>1.5416151639469281E-2</v>
      </c>
      <c r="F42" s="25">
        <f t="shared" si="2"/>
        <v>1872.891613235352</v>
      </c>
      <c r="G42" s="26">
        <f t="shared" si="3"/>
        <v>93.644580661767606</v>
      </c>
      <c r="H42" s="26">
        <f t="shared" si="0"/>
        <v>1966.5361938971196</v>
      </c>
    </row>
    <row r="43" spans="1:12" customFormat="1" x14ac:dyDescent="0.25">
      <c r="A43" s="20" t="s">
        <v>90</v>
      </c>
      <c r="B43" s="21" t="s">
        <v>91</v>
      </c>
      <c r="C43" s="22">
        <v>41497649000147</v>
      </c>
      <c r="D43" s="23">
        <v>2526</v>
      </c>
      <c r="E43" s="24">
        <f t="shared" si="1"/>
        <v>7.9601796895542518E-3</v>
      </c>
      <c r="F43" s="25">
        <f t="shared" si="2"/>
        <v>967.07363348988122</v>
      </c>
      <c r="G43" s="26">
        <f t="shared" si="3"/>
        <v>48.353681674494062</v>
      </c>
      <c r="H43" s="26">
        <f t="shared" si="0"/>
        <v>1015.4273151643753</v>
      </c>
    </row>
    <row r="44" spans="1:12" customFormat="1" x14ac:dyDescent="0.25">
      <c r="A44" s="20" t="s">
        <v>92</v>
      </c>
      <c r="B44" s="21" t="s">
        <v>93</v>
      </c>
      <c r="C44" s="22">
        <v>40580071000125</v>
      </c>
      <c r="D44" s="23">
        <v>3600</v>
      </c>
      <c r="E44" s="24">
        <f t="shared" si="1"/>
        <v>1.1344674141882545E-2</v>
      </c>
      <c r="F44" s="25">
        <f t="shared" si="2"/>
        <v>1378.252209249237</v>
      </c>
      <c r="G44" s="26">
        <f t="shared" si="3"/>
        <v>68.912610462461856</v>
      </c>
      <c r="H44" s="26">
        <f t="shared" si="0"/>
        <v>1447.1648197116988</v>
      </c>
      <c r="I44" s="32" t="s">
        <v>63</v>
      </c>
      <c r="L44" t="s">
        <v>94</v>
      </c>
    </row>
    <row r="45" spans="1:12" customFormat="1" x14ac:dyDescent="0.25">
      <c r="A45" s="20" t="s">
        <v>95</v>
      </c>
      <c r="B45" s="21" t="s">
        <v>96</v>
      </c>
      <c r="C45" s="22" t="s">
        <v>97</v>
      </c>
      <c r="D45" s="23">
        <v>3938</v>
      </c>
      <c r="E45" s="24">
        <f t="shared" si="1"/>
        <v>1.2409812991870406E-2</v>
      </c>
      <c r="F45" s="25">
        <f t="shared" si="2"/>
        <v>1507.6547777843043</v>
      </c>
      <c r="G45" s="26">
        <f t="shared" si="3"/>
        <v>75.382738889215219</v>
      </c>
      <c r="H45" s="26">
        <f t="shared" si="0"/>
        <v>1583.0375166735196</v>
      </c>
    </row>
    <row r="46" spans="1:12" customFormat="1" x14ac:dyDescent="0.25">
      <c r="A46" s="20" t="s">
        <v>98</v>
      </c>
      <c r="B46" s="21" t="s">
        <v>167</v>
      </c>
      <c r="C46" s="22" t="s">
        <v>168</v>
      </c>
      <c r="D46" s="23">
        <v>3707</v>
      </c>
      <c r="E46" s="24">
        <f t="shared" si="1"/>
        <v>1.1681863067766276E-2</v>
      </c>
      <c r="F46" s="25">
        <f t="shared" si="2"/>
        <v>1419.2169276908114</v>
      </c>
      <c r="G46" s="26">
        <f t="shared" si="3"/>
        <v>70.960846384540574</v>
      </c>
      <c r="H46" s="26">
        <f t="shared" si="0"/>
        <v>1490.1777740753521</v>
      </c>
    </row>
    <row r="47" spans="1:12" customFormat="1" x14ac:dyDescent="0.25">
      <c r="A47" s="20" t="s">
        <v>100</v>
      </c>
      <c r="B47" s="21" t="s">
        <v>101</v>
      </c>
      <c r="C47" s="22">
        <v>42109766000159</v>
      </c>
      <c r="D47" s="23">
        <v>5117</v>
      </c>
      <c r="E47" s="24">
        <f t="shared" si="1"/>
        <v>1.6125193773336939E-2</v>
      </c>
      <c r="F47" s="25">
        <f t="shared" si="2"/>
        <v>1959.0323763134293</v>
      </c>
      <c r="G47" s="26">
        <f t="shared" si="3"/>
        <v>97.951618815671466</v>
      </c>
      <c r="H47" s="26">
        <f t="shared" si="0"/>
        <v>2056.9839951291005</v>
      </c>
    </row>
    <row r="48" spans="1:12" customFormat="1" x14ac:dyDescent="0.25">
      <c r="A48" s="20" t="s">
        <v>102</v>
      </c>
      <c r="B48" s="21" t="s">
        <v>99</v>
      </c>
      <c r="C48" s="22">
        <v>18788190000119</v>
      </c>
      <c r="D48" s="23">
        <v>14717</v>
      </c>
      <c r="E48" s="24">
        <f t="shared" si="1"/>
        <v>4.6377658151690392E-2</v>
      </c>
      <c r="F48" s="25">
        <f t="shared" si="2"/>
        <v>5634.371600978061</v>
      </c>
      <c r="G48" s="26">
        <f t="shared" si="3"/>
        <v>281.71858004890305</v>
      </c>
      <c r="H48" s="26">
        <f t="shared" si="0"/>
        <v>5916.0901810269643</v>
      </c>
    </row>
    <row r="49" spans="1:10" customFormat="1" ht="13.5" customHeight="1" x14ac:dyDescent="0.25">
      <c r="A49" s="20" t="s">
        <v>103</v>
      </c>
      <c r="B49" s="21" t="s">
        <v>104</v>
      </c>
      <c r="C49" s="22">
        <v>32302613000170</v>
      </c>
      <c r="D49" s="23">
        <v>5439</v>
      </c>
      <c r="E49" s="24">
        <f t="shared" si="1"/>
        <v>1.7139911849360877E-2</v>
      </c>
      <c r="F49" s="25">
        <f t="shared" si="2"/>
        <v>2082.3093794740553</v>
      </c>
      <c r="G49" s="26">
        <f t="shared" si="3"/>
        <v>104.11546897370278</v>
      </c>
      <c r="H49" s="26">
        <f t="shared" si="0"/>
        <v>2186.424848447758</v>
      </c>
    </row>
    <row r="50" spans="1:10" customFormat="1" x14ac:dyDescent="0.25">
      <c r="A50" s="20" t="s">
        <v>105</v>
      </c>
      <c r="B50" s="21" t="s">
        <v>106</v>
      </c>
      <c r="C50" s="22">
        <v>28616552000148</v>
      </c>
      <c r="D50" s="23">
        <v>4123.71</v>
      </c>
      <c r="E50" s="24">
        <f t="shared" si="1"/>
        <v>1.2995040612672908E-2</v>
      </c>
      <c r="F50" s="25">
        <f t="shared" si="2"/>
        <v>1578.7534493897697</v>
      </c>
      <c r="G50" s="26">
        <f t="shared" si="3"/>
        <v>78.93767246948849</v>
      </c>
      <c r="H50" s="26">
        <f t="shared" si="0"/>
        <v>1657.6911218592581</v>
      </c>
    </row>
    <row r="51" spans="1:10" customFormat="1" x14ac:dyDescent="0.25">
      <c r="A51" s="20" t="s">
        <v>107</v>
      </c>
      <c r="B51" s="21" t="s">
        <v>108</v>
      </c>
      <c r="C51" s="22">
        <v>42579914000107</v>
      </c>
      <c r="D51" s="23">
        <v>4986.3599999999997</v>
      </c>
      <c r="E51" s="24">
        <f t="shared" si="1"/>
        <v>1.5713508153921512E-2</v>
      </c>
      <c r="F51" s="25">
        <f t="shared" si="2"/>
        <v>1909.017135031118</v>
      </c>
      <c r="G51" s="26">
        <f t="shared" si="3"/>
        <v>95.450856751555904</v>
      </c>
      <c r="H51" s="26">
        <f t="shared" si="0"/>
        <v>2004.4679917826738</v>
      </c>
    </row>
    <row r="52" spans="1:10" customFormat="1" x14ac:dyDescent="0.25">
      <c r="A52" s="20" t="s">
        <v>109</v>
      </c>
      <c r="B52" s="21" t="s">
        <v>110</v>
      </c>
      <c r="C52" s="22" t="s">
        <v>111</v>
      </c>
      <c r="D52" s="23">
        <v>7462</v>
      </c>
      <c r="E52" s="24">
        <f t="shared" si="1"/>
        <v>2.3514988457424318E-2</v>
      </c>
      <c r="F52" s="25">
        <f t="shared" si="2"/>
        <v>2856.810551504946</v>
      </c>
      <c r="G52" s="26">
        <f t="shared" si="3"/>
        <v>142.84052757524731</v>
      </c>
      <c r="H52" s="26">
        <f t="shared" si="0"/>
        <v>2999.6510790801935</v>
      </c>
      <c r="J52" s="44"/>
    </row>
    <row r="53" spans="1:10" customFormat="1" x14ac:dyDescent="0.25">
      <c r="A53" s="20" t="s">
        <v>112</v>
      </c>
      <c r="B53" s="21" t="s">
        <v>113</v>
      </c>
      <c r="C53" s="22" t="s">
        <v>114</v>
      </c>
      <c r="D53" s="23">
        <v>5525</v>
      </c>
      <c r="E53" s="24">
        <f t="shared" si="1"/>
        <v>1.7410923509416962E-2</v>
      </c>
      <c r="F53" s="25">
        <f t="shared" si="2"/>
        <v>2115.234293361676</v>
      </c>
      <c r="G53" s="26">
        <f t="shared" si="3"/>
        <v>105.76171466808381</v>
      </c>
      <c r="H53" s="26">
        <f t="shared" si="0"/>
        <v>2220.9960080297597</v>
      </c>
    </row>
    <row r="54" spans="1:10" customFormat="1" x14ac:dyDescent="0.25">
      <c r="A54" s="20" t="s">
        <v>186</v>
      </c>
      <c r="B54" s="21" t="s">
        <v>187</v>
      </c>
      <c r="C54" s="22" t="s">
        <v>188</v>
      </c>
      <c r="D54" s="23">
        <v>6188.23</v>
      </c>
      <c r="E54" s="24">
        <f t="shared" si="1"/>
        <v>1.9500959129172726E-2</v>
      </c>
      <c r="F54" s="25">
        <f t="shared" si="2"/>
        <v>2369.1504635673346</v>
      </c>
      <c r="G54" s="26">
        <f>F54*5%</f>
        <v>118.45752317836673</v>
      </c>
      <c r="H54" s="26">
        <f>F54+G54</f>
        <v>2487.6079867457011</v>
      </c>
    </row>
    <row r="55" spans="1:10" customFormat="1" x14ac:dyDescent="0.25">
      <c r="A55" s="20" t="s">
        <v>115</v>
      </c>
      <c r="B55" s="21" t="s">
        <v>116</v>
      </c>
      <c r="C55" s="22">
        <v>26480299000112</v>
      </c>
      <c r="D55" s="23"/>
      <c r="E55" s="24">
        <f t="shared" si="1"/>
        <v>0</v>
      </c>
      <c r="F55" s="25">
        <f t="shared" si="2"/>
        <v>0</v>
      </c>
      <c r="G55" s="26">
        <f t="shared" si="3"/>
        <v>0</v>
      </c>
      <c r="H55" s="26">
        <f t="shared" si="0"/>
        <v>0</v>
      </c>
    </row>
    <row r="56" spans="1:10" customFormat="1" x14ac:dyDescent="0.25">
      <c r="A56" s="20" t="s">
        <v>179</v>
      </c>
      <c r="B56" s="21" t="s">
        <v>180</v>
      </c>
      <c r="C56" s="22" t="s">
        <v>181</v>
      </c>
      <c r="D56" s="23">
        <v>11302</v>
      </c>
      <c r="E56" s="24">
        <f t="shared" si="1"/>
        <v>3.5615974208765701E-2</v>
      </c>
      <c r="F56" s="25">
        <f t="shared" si="2"/>
        <v>4326.9462413707988</v>
      </c>
      <c r="G56" s="26">
        <f t="shared" si="3"/>
        <v>216.34731206853996</v>
      </c>
      <c r="H56" s="26">
        <f t="shared" si="0"/>
        <v>4543.2935534393391</v>
      </c>
    </row>
    <row r="57" spans="1:10" customFormat="1" x14ac:dyDescent="0.25">
      <c r="A57" s="20" t="s">
        <v>117</v>
      </c>
      <c r="B57" s="21" t="s">
        <v>118</v>
      </c>
      <c r="C57" s="22" t="s">
        <v>119</v>
      </c>
      <c r="D57" s="23">
        <v>4943</v>
      </c>
      <c r="E57" s="24">
        <f t="shared" si="1"/>
        <v>1.5576867856479283E-2</v>
      </c>
      <c r="F57" s="25">
        <f t="shared" si="2"/>
        <v>1892.4168528663829</v>
      </c>
      <c r="G57" s="26">
        <f t="shared" si="3"/>
        <v>94.620842643319151</v>
      </c>
      <c r="H57" s="26">
        <f t="shared" si="0"/>
        <v>1987.037695509702</v>
      </c>
    </row>
    <row r="58" spans="1:10" customFormat="1" x14ac:dyDescent="0.25">
      <c r="A58" s="20" t="s">
        <v>120</v>
      </c>
      <c r="B58" s="21" t="s">
        <v>121</v>
      </c>
      <c r="C58" s="22">
        <v>12997366000166</v>
      </c>
      <c r="D58" s="23">
        <v>5160</v>
      </c>
      <c r="E58" s="24">
        <f t="shared" si="1"/>
        <v>1.6260699603364979E-2</v>
      </c>
      <c r="F58" s="25">
        <f t="shared" si="2"/>
        <v>1975.4948332572394</v>
      </c>
      <c r="G58" s="26">
        <f t="shared" si="3"/>
        <v>98.77474166286197</v>
      </c>
      <c r="H58" s="26">
        <f t="shared" si="0"/>
        <v>2074.2695749201011</v>
      </c>
    </row>
    <row r="59" spans="1:10" customFormat="1" ht="16.5" customHeight="1" x14ac:dyDescent="0.25">
      <c r="A59" s="20" t="s">
        <v>122</v>
      </c>
      <c r="B59" s="21" t="s">
        <v>123</v>
      </c>
      <c r="C59" s="22" t="s">
        <v>124</v>
      </c>
      <c r="D59" s="23">
        <v>6586</v>
      </c>
      <c r="E59" s="24">
        <f t="shared" si="1"/>
        <v>2.0754451082899566E-2</v>
      </c>
      <c r="F59" s="25">
        <f t="shared" si="2"/>
        <v>2521.4358472542986</v>
      </c>
      <c r="G59" s="26">
        <f t="shared" si="3"/>
        <v>126.07179236271493</v>
      </c>
      <c r="H59" s="26">
        <f t="shared" si="0"/>
        <v>2647.5076396170134</v>
      </c>
    </row>
    <row r="60" spans="1:10" customFormat="1" x14ac:dyDescent="0.25">
      <c r="A60" s="20" t="s">
        <v>125</v>
      </c>
      <c r="B60" s="86" t="s">
        <v>126</v>
      </c>
      <c r="C60" s="22">
        <v>11884518000151</v>
      </c>
      <c r="D60" s="23">
        <v>5644</v>
      </c>
      <c r="E60" s="24">
        <f t="shared" si="1"/>
        <v>1.7785928015773635E-2</v>
      </c>
      <c r="F60" s="25">
        <f t="shared" si="2"/>
        <v>2160.7931858340817</v>
      </c>
      <c r="G60" s="26">
        <f t="shared" si="3"/>
        <v>108.03965929170408</v>
      </c>
      <c r="H60" s="26">
        <f t="shared" si="0"/>
        <v>2268.8328451257858</v>
      </c>
    </row>
    <row r="61" spans="1:10" customFormat="1" x14ac:dyDescent="0.25">
      <c r="A61" s="20" t="s">
        <v>127</v>
      </c>
      <c r="B61" s="86" t="s">
        <v>128</v>
      </c>
      <c r="C61" s="22">
        <v>36188051000136</v>
      </c>
      <c r="D61" s="23">
        <v>6936</v>
      </c>
      <c r="E61" s="24">
        <f t="shared" si="1"/>
        <v>2.1857405513360368E-2</v>
      </c>
      <c r="F61" s="25">
        <f t="shared" si="2"/>
        <v>2655.4325898201964</v>
      </c>
      <c r="G61" s="26">
        <f t="shared" si="3"/>
        <v>132.77162949100983</v>
      </c>
      <c r="H61" s="26">
        <f t="shared" si="0"/>
        <v>2788.2042193112061</v>
      </c>
    </row>
    <row r="62" spans="1:10" customFormat="1" x14ac:dyDescent="0.25">
      <c r="A62" s="20" t="s">
        <v>127</v>
      </c>
      <c r="B62" s="86" t="s">
        <v>218</v>
      </c>
      <c r="C62" s="22"/>
      <c r="D62" s="23">
        <v>8179</v>
      </c>
      <c r="E62" s="24">
        <f t="shared" si="1"/>
        <v>2.5774469390682592E-2</v>
      </c>
      <c r="F62" s="25">
        <f t="shared" si="2"/>
        <v>3131.3124498470856</v>
      </c>
      <c r="G62" s="26">
        <f>F62*5%</f>
        <v>156.56562249235429</v>
      </c>
      <c r="H62" s="26">
        <f>F62+G62</f>
        <v>3287.8780723394398</v>
      </c>
    </row>
    <row r="63" spans="1:10" customFormat="1" x14ac:dyDescent="0.25">
      <c r="A63" s="20" t="s">
        <v>129</v>
      </c>
      <c r="B63" s="86" t="s">
        <v>130</v>
      </c>
      <c r="C63" s="22" t="s">
        <v>131</v>
      </c>
      <c r="D63" s="23">
        <f>7425*40%</f>
        <v>2970</v>
      </c>
      <c r="E63" s="24">
        <f t="shared" si="1"/>
        <v>9.3593561670530998E-3</v>
      </c>
      <c r="F63" s="25">
        <f t="shared" si="2"/>
        <v>1137.0580726306205</v>
      </c>
      <c r="G63" s="26">
        <f t="shared" si="3"/>
        <v>56.852903631531028</v>
      </c>
      <c r="H63" s="26">
        <f t="shared" si="0"/>
        <v>1193.9109762621515</v>
      </c>
    </row>
    <row r="64" spans="1:10" customFormat="1" x14ac:dyDescent="0.25">
      <c r="A64" s="20" t="s">
        <v>132</v>
      </c>
      <c r="B64" s="86" t="s">
        <v>133</v>
      </c>
      <c r="C64" s="22">
        <v>18741082000190</v>
      </c>
      <c r="D64" s="23">
        <v>12183</v>
      </c>
      <c r="E64" s="24">
        <f t="shared" si="1"/>
        <v>3.8392268075154175E-2</v>
      </c>
      <c r="F64" s="25">
        <f t="shared" si="2"/>
        <v>4664.2351848009585</v>
      </c>
      <c r="G64" s="26">
        <f t="shared" si="3"/>
        <v>233.21175924004794</v>
      </c>
      <c r="H64" s="26">
        <f t="shared" si="0"/>
        <v>4897.4469440410066</v>
      </c>
    </row>
    <row r="65" spans="1:8" customFormat="1" x14ac:dyDescent="0.25">
      <c r="A65" s="20" t="s">
        <v>134</v>
      </c>
      <c r="B65" s="86" t="s">
        <v>135</v>
      </c>
      <c r="C65" s="22" t="s">
        <v>136</v>
      </c>
      <c r="D65" s="23">
        <v>4814</v>
      </c>
      <c r="E65" s="24">
        <f t="shared" si="1"/>
        <v>1.5170350366395158E-2</v>
      </c>
      <c r="F65" s="25">
        <f t="shared" si="2"/>
        <v>1843.0294820349518</v>
      </c>
      <c r="G65" s="26">
        <f t="shared" si="3"/>
        <v>92.151474101747596</v>
      </c>
      <c r="H65" s="26">
        <f t="shared" si="0"/>
        <v>1935.1809561366995</v>
      </c>
    </row>
    <row r="66" spans="1:8" customFormat="1" x14ac:dyDescent="0.25">
      <c r="A66" s="20" t="s">
        <v>137</v>
      </c>
      <c r="B66" s="86" t="s">
        <v>138</v>
      </c>
      <c r="C66" s="22" t="s">
        <v>139</v>
      </c>
      <c r="D66" s="23">
        <v>3476.86</v>
      </c>
      <c r="E66" s="24">
        <f t="shared" si="1"/>
        <v>1.0956623260262708E-2</v>
      </c>
      <c r="F66" s="25">
        <f t="shared" si="2"/>
        <v>1331.1083267361951</v>
      </c>
      <c r="G66" s="26">
        <f t="shared" si="3"/>
        <v>66.555416336809756</v>
      </c>
      <c r="H66" s="26">
        <f t="shared" si="0"/>
        <v>1397.6637430730048</v>
      </c>
    </row>
    <row r="67" spans="1:8" customFormat="1" x14ac:dyDescent="0.25">
      <c r="A67" s="20" t="s">
        <v>140</v>
      </c>
      <c r="B67" s="28" t="s">
        <v>141</v>
      </c>
      <c r="C67" s="22">
        <v>11884518000151</v>
      </c>
      <c r="D67" s="23">
        <f>81377.44-14717-3314-9239+4126.33-9403+9177.57-8179</f>
        <v>49829.340000000004</v>
      </c>
      <c r="E67" s="24">
        <f t="shared" si="1"/>
        <v>0.1570271180569649</v>
      </c>
      <c r="F67" s="25">
        <f t="shared" si="2"/>
        <v>19077.054983453163</v>
      </c>
      <c r="G67" s="26">
        <f t="shared" si="3"/>
        <v>953.85274917265815</v>
      </c>
      <c r="H67" s="26">
        <f t="shared" si="0"/>
        <v>20030.907732625819</v>
      </c>
    </row>
    <row r="68" spans="1:8" customFormat="1" x14ac:dyDescent="0.25">
      <c r="A68" s="34"/>
      <c r="B68" s="35"/>
      <c r="C68" s="36" t="s">
        <v>142</v>
      </c>
      <c r="D68" s="37">
        <f>SUM(D23:D67)</f>
        <v>317329.52</v>
      </c>
      <c r="E68" s="38">
        <f>SUM(E23:E67)</f>
        <v>0.99999999999999978</v>
      </c>
      <c r="F68" s="98">
        <f>SUM(F23:F67)</f>
        <v>121488.91999999998</v>
      </c>
      <c r="G68" s="98">
        <f>SUM(G23:G67)</f>
        <v>6074.445999999999</v>
      </c>
      <c r="H68" s="99">
        <f>SUM(H23:H67)</f>
        <v>127563.36599999995</v>
      </c>
    </row>
    <row r="69" spans="1:8" customFormat="1" x14ac:dyDescent="0.25">
      <c r="D69" s="44"/>
      <c r="F69" s="41"/>
    </row>
    <row r="70" spans="1:8" customFormat="1" x14ac:dyDescent="0.25">
      <c r="F70" s="41"/>
    </row>
    <row r="71" spans="1:8" customFormat="1" x14ac:dyDescent="0.25">
      <c r="D71" s="44"/>
      <c r="E71" s="41"/>
      <c r="H71" s="42"/>
    </row>
    <row r="72" spans="1:8" customFormat="1" x14ac:dyDescent="0.25">
      <c r="E72" s="41"/>
    </row>
    <row r="73" spans="1:8" customFormat="1" x14ac:dyDescent="0.25"/>
    <row r="74" spans="1:8" customFormat="1" x14ac:dyDescent="0.25"/>
    <row r="75" spans="1:8" customFormat="1" x14ac:dyDescent="0.25"/>
    <row r="76" spans="1:8" customFormat="1" x14ac:dyDescent="0.25"/>
    <row r="77" spans="1:8" customFormat="1" x14ac:dyDescent="0.25"/>
    <row r="78" spans="1:8" customFormat="1" x14ac:dyDescent="0.25"/>
    <row r="79" spans="1:8" customFormat="1" x14ac:dyDescent="0.25"/>
    <row r="80" spans="1:8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spans="1:8" customFormat="1" x14ac:dyDescent="0.25"/>
    <row r="146" spans="1:8" customFormat="1" x14ac:dyDescent="0.25"/>
    <row r="147" spans="1:8" customFormat="1" x14ac:dyDescent="0.25"/>
    <row r="148" spans="1:8" customFormat="1" x14ac:dyDescent="0.25"/>
    <row r="149" spans="1:8" customFormat="1" x14ac:dyDescent="0.25"/>
    <row r="150" spans="1:8" customFormat="1" x14ac:dyDescent="0.25"/>
    <row r="151" spans="1:8" customFormat="1" x14ac:dyDescent="0.25"/>
    <row r="152" spans="1:8" customFormat="1" x14ac:dyDescent="0.25">
      <c r="A152" s="100"/>
      <c r="B152" s="100"/>
      <c r="C152" s="100"/>
      <c r="D152" s="100"/>
      <c r="E152" s="100"/>
    </row>
    <row r="153" spans="1:8" x14ac:dyDescent="0.25">
      <c r="F153"/>
      <c r="G153"/>
      <c r="H153"/>
    </row>
    <row r="154" spans="1:8" x14ac:dyDescent="0.25">
      <c r="F154"/>
      <c r="G154"/>
      <c r="H154"/>
    </row>
    <row r="155" spans="1:8" x14ac:dyDescent="0.25">
      <c r="F155"/>
      <c r="G155"/>
      <c r="H155"/>
    </row>
    <row r="156" spans="1:8" x14ac:dyDescent="0.25">
      <c r="F156"/>
      <c r="G156"/>
      <c r="H156"/>
    </row>
    <row r="157" spans="1:8" x14ac:dyDescent="0.25">
      <c r="F157"/>
      <c r="G157"/>
      <c r="H157"/>
    </row>
    <row r="158" spans="1:8" x14ac:dyDescent="0.25">
      <c r="F158"/>
      <c r="G158"/>
      <c r="H158"/>
    </row>
    <row r="159" spans="1:8" x14ac:dyDescent="0.25">
      <c r="F159"/>
      <c r="G159"/>
      <c r="H159"/>
    </row>
    <row r="160" spans="1:8" x14ac:dyDescent="0.25">
      <c r="F160"/>
      <c r="G160"/>
      <c r="H160"/>
    </row>
    <row r="161" spans="6:8" x14ac:dyDescent="0.25">
      <c r="F161"/>
      <c r="G161"/>
      <c r="H161"/>
    </row>
    <row r="162" spans="6:8" x14ac:dyDescent="0.25">
      <c r="F162"/>
      <c r="G162"/>
      <c r="H162"/>
    </row>
    <row r="163" spans="6:8" x14ac:dyDescent="0.25">
      <c r="F163"/>
      <c r="G163"/>
      <c r="H163"/>
    </row>
    <row r="164" spans="6:8" x14ac:dyDescent="0.25">
      <c r="F164"/>
      <c r="G164"/>
      <c r="H164"/>
    </row>
    <row r="165" spans="6:8" x14ac:dyDescent="0.25">
      <c r="F165"/>
      <c r="G165"/>
      <c r="H165"/>
    </row>
    <row r="166" spans="6:8" x14ac:dyDescent="0.25">
      <c r="F166"/>
      <c r="G166"/>
      <c r="H166"/>
    </row>
    <row r="167" spans="6:8" x14ac:dyDescent="0.25">
      <c r="F167"/>
      <c r="G167"/>
      <c r="H167"/>
    </row>
    <row r="168" spans="6:8" x14ac:dyDescent="0.25">
      <c r="F168"/>
      <c r="G168"/>
      <c r="H168"/>
    </row>
    <row r="169" spans="6:8" x14ac:dyDescent="0.25">
      <c r="F169"/>
      <c r="G169"/>
      <c r="H169"/>
    </row>
    <row r="170" spans="6:8" x14ac:dyDescent="0.25">
      <c r="F170"/>
      <c r="G170"/>
      <c r="H170"/>
    </row>
    <row r="171" spans="6:8" x14ac:dyDescent="0.25">
      <c r="F171"/>
      <c r="G171"/>
      <c r="H171"/>
    </row>
    <row r="172" spans="6:8" x14ac:dyDescent="0.25">
      <c r="F172"/>
      <c r="G172"/>
      <c r="H172"/>
    </row>
    <row r="173" spans="6:8" x14ac:dyDescent="0.25">
      <c r="F173"/>
      <c r="G173"/>
      <c r="H173"/>
    </row>
    <row r="174" spans="6:8" x14ac:dyDescent="0.25">
      <c r="F174"/>
      <c r="G174"/>
      <c r="H174"/>
    </row>
    <row r="175" spans="6:8" x14ac:dyDescent="0.25">
      <c r="F175"/>
      <c r="G175"/>
      <c r="H175"/>
    </row>
    <row r="176" spans="6:8" x14ac:dyDescent="0.25">
      <c r="F176"/>
      <c r="G176"/>
      <c r="H176"/>
    </row>
    <row r="177" spans="6:8" x14ac:dyDescent="0.25">
      <c r="F177"/>
      <c r="G177"/>
      <c r="H177"/>
    </row>
    <row r="178" spans="6:8" x14ac:dyDescent="0.25">
      <c r="F178"/>
      <c r="G178"/>
      <c r="H178"/>
    </row>
    <row r="179" spans="6:8" x14ac:dyDescent="0.25">
      <c r="F179"/>
      <c r="G179"/>
      <c r="H179"/>
    </row>
    <row r="180" spans="6:8" x14ac:dyDescent="0.25">
      <c r="F180"/>
      <c r="G180"/>
      <c r="H180"/>
    </row>
    <row r="181" spans="6:8" x14ac:dyDescent="0.25">
      <c r="F181"/>
      <c r="G181"/>
      <c r="H181"/>
    </row>
    <row r="182" spans="6:8" x14ac:dyDescent="0.25">
      <c r="F182"/>
      <c r="G182"/>
      <c r="H182"/>
    </row>
    <row r="183" spans="6:8" x14ac:dyDescent="0.25">
      <c r="F183"/>
      <c r="G183"/>
      <c r="H183"/>
    </row>
    <row r="184" spans="6:8" x14ac:dyDescent="0.25">
      <c r="F184"/>
      <c r="G184"/>
      <c r="H184"/>
    </row>
    <row r="185" spans="6:8" x14ac:dyDescent="0.25">
      <c r="F185"/>
      <c r="G185"/>
      <c r="H185"/>
    </row>
    <row r="186" spans="6:8" x14ac:dyDescent="0.25">
      <c r="F186"/>
      <c r="G186"/>
      <c r="H186"/>
    </row>
    <row r="187" spans="6:8" x14ac:dyDescent="0.25">
      <c r="F187"/>
      <c r="G187"/>
      <c r="H187"/>
    </row>
    <row r="188" spans="6:8" x14ac:dyDescent="0.25">
      <c r="F188"/>
      <c r="G188"/>
      <c r="H188"/>
    </row>
    <row r="189" spans="6:8" x14ac:dyDescent="0.25">
      <c r="F189"/>
      <c r="G189"/>
      <c r="H189"/>
    </row>
    <row r="190" spans="6:8" x14ac:dyDescent="0.25">
      <c r="F190"/>
      <c r="G190"/>
      <c r="H190"/>
    </row>
    <row r="191" spans="6:8" x14ac:dyDescent="0.25">
      <c r="F191"/>
      <c r="G191"/>
      <c r="H191"/>
    </row>
    <row r="192" spans="6:8" x14ac:dyDescent="0.25">
      <c r="F192"/>
      <c r="G192"/>
      <c r="H192"/>
    </row>
    <row r="193" spans="6:8" x14ac:dyDescent="0.25">
      <c r="F193"/>
      <c r="G193"/>
      <c r="H193"/>
    </row>
    <row r="194" spans="6:8" x14ac:dyDescent="0.25">
      <c r="F194"/>
      <c r="G194"/>
      <c r="H194"/>
    </row>
    <row r="195" spans="6:8" x14ac:dyDescent="0.25">
      <c r="F195"/>
      <c r="G195"/>
      <c r="H195"/>
    </row>
    <row r="196" spans="6:8" x14ac:dyDescent="0.25">
      <c r="F196"/>
      <c r="G196"/>
      <c r="H196"/>
    </row>
    <row r="197" spans="6:8" x14ac:dyDescent="0.25">
      <c r="F197"/>
      <c r="G197"/>
      <c r="H197"/>
    </row>
    <row r="198" spans="6:8" x14ac:dyDescent="0.25">
      <c r="F198"/>
      <c r="G198"/>
      <c r="H198"/>
    </row>
    <row r="199" spans="6:8" x14ac:dyDescent="0.25">
      <c r="F199"/>
      <c r="G199"/>
      <c r="H199"/>
    </row>
    <row r="200" spans="6:8" x14ac:dyDescent="0.25">
      <c r="F200"/>
      <c r="G200"/>
      <c r="H200"/>
    </row>
    <row r="201" spans="6:8" x14ac:dyDescent="0.25">
      <c r="F201"/>
      <c r="G201"/>
      <c r="H201"/>
    </row>
    <row r="202" spans="6:8" x14ac:dyDescent="0.25">
      <c r="F202"/>
      <c r="G202"/>
      <c r="H202"/>
    </row>
    <row r="203" spans="6:8" x14ac:dyDescent="0.25">
      <c r="F203"/>
      <c r="G203"/>
      <c r="H203"/>
    </row>
    <row r="204" spans="6:8" x14ac:dyDescent="0.25">
      <c r="F204"/>
      <c r="G204"/>
      <c r="H204"/>
    </row>
    <row r="205" spans="6:8" x14ac:dyDescent="0.25">
      <c r="F205"/>
      <c r="G205"/>
      <c r="H205"/>
    </row>
    <row r="206" spans="6:8" x14ac:dyDescent="0.25">
      <c r="F206"/>
      <c r="G206"/>
      <c r="H206"/>
    </row>
    <row r="207" spans="6:8" x14ac:dyDescent="0.25">
      <c r="F207"/>
      <c r="G207"/>
      <c r="H207"/>
    </row>
    <row r="208" spans="6:8" x14ac:dyDescent="0.25">
      <c r="F208"/>
      <c r="G208"/>
      <c r="H208"/>
    </row>
    <row r="209" spans="6:8" x14ac:dyDescent="0.25">
      <c r="F209"/>
      <c r="G209"/>
      <c r="H209"/>
    </row>
    <row r="210" spans="6:8" x14ac:dyDescent="0.25">
      <c r="F210"/>
      <c r="G210"/>
      <c r="H210"/>
    </row>
    <row r="211" spans="6:8" x14ac:dyDescent="0.25">
      <c r="F211"/>
      <c r="G211"/>
      <c r="H211"/>
    </row>
    <row r="212" spans="6:8" x14ac:dyDescent="0.25">
      <c r="F212"/>
      <c r="G212"/>
      <c r="H212"/>
    </row>
    <row r="213" spans="6:8" x14ac:dyDescent="0.25">
      <c r="F213"/>
      <c r="G213"/>
      <c r="H213"/>
    </row>
    <row r="214" spans="6:8" x14ac:dyDescent="0.25">
      <c r="F214"/>
      <c r="G214"/>
      <c r="H214"/>
    </row>
    <row r="215" spans="6:8" x14ac:dyDescent="0.25">
      <c r="F215"/>
      <c r="G215"/>
      <c r="H215"/>
    </row>
    <row r="216" spans="6:8" x14ac:dyDescent="0.25">
      <c r="F216"/>
      <c r="G216"/>
      <c r="H216"/>
    </row>
    <row r="217" spans="6:8" x14ac:dyDescent="0.25">
      <c r="F217"/>
      <c r="G217"/>
      <c r="H217"/>
    </row>
    <row r="218" spans="6:8" x14ac:dyDescent="0.25">
      <c r="F218"/>
      <c r="G218"/>
      <c r="H218"/>
    </row>
    <row r="219" spans="6:8" x14ac:dyDescent="0.25">
      <c r="F219"/>
      <c r="G219"/>
      <c r="H219"/>
    </row>
    <row r="220" spans="6:8" x14ac:dyDescent="0.25">
      <c r="F220"/>
      <c r="G220"/>
      <c r="H220"/>
    </row>
    <row r="221" spans="6:8" x14ac:dyDescent="0.25">
      <c r="F221"/>
      <c r="G221"/>
      <c r="H221"/>
    </row>
    <row r="222" spans="6:8" x14ac:dyDescent="0.25">
      <c r="F222"/>
      <c r="G222"/>
      <c r="H222"/>
    </row>
    <row r="223" spans="6:8" x14ac:dyDescent="0.25">
      <c r="F223"/>
      <c r="G223"/>
      <c r="H223"/>
    </row>
    <row r="224" spans="6:8" x14ac:dyDescent="0.25">
      <c r="F224"/>
      <c r="G224"/>
      <c r="H224"/>
    </row>
    <row r="225" spans="6:8" x14ac:dyDescent="0.25">
      <c r="F225"/>
      <c r="G225"/>
      <c r="H225"/>
    </row>
    <row r="226" spans="6:8" x14ac:dyDescent="0.25">
      <c r="F226"/>
      <c r="G226"/>
      <c r="H226"/>
    </row>
    <row r="227" spans="6:8" x14ac:dyDescent="0.25">
      <c r="F227"/>
      <c r="G227"/>
      <c r="H227"/>
    </row>
    <row r="228" spans="6:8" x14ac:dyDescent="0.25">
      <c r="F228"/>
      <c r="G228"/>
      <c r="H228"/>
    </row>
    <row r="229" spans="6:8" x14ac:dyDescent="0.25">
      <c r="F229"/>
      <c r="G229"/>
      <c r="H229"/>
    </row>
    <row r="230" spans="6:8" x14ac:dyDescent="0.25">
      <c r="F230"/>
      <c r="G230"/>
      <c r="H230"/>
    </row>
    <row r="231" spans="6:8" x14ac:dyDescent="0.25">
      <c r="F231"/>
      <c r="G231"/>
      <c r="H231"/>
    </row>
    <row r="232" spans="6:8" x14ac:dyDescent="0.25">
      <c r="F232"/>
      <c r="G232"/>
      <c r="H232"/>
    </row>
    <row r="233" spans="6:8" x14ac:dyDescent="0.25">
      <c r="F233"/>
      <c r="G233"/>
      <c r="H233"/>
    </row>
    <row r="234" spans="6:8" x14ac:dyDescent="0.25">
      <c r="G234"/>
      <c r="H234"/>
    </row>
  </sheetData>
  <mergeCells count="1">
    <mergeCell ref="B1:G1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33</vt:i4>
      </vt:variant>
      <vt:variant>
        <vt:lpstr>Intervalos Nomeados</vt:lpstr>
      </vt:variant>
      <vt:variant>
        <vt:i4>1</vt:i4>
      </vt:variant>
    </vt:vector>
  </HeadingPairs>
  <TitlesOfParts>
    <vt:vector size="34" baseType="lpstr">
      <vt:lpstr>Jan_25</vt:lpstr>
      <vt:lpstr>Jan_25 - PSAC E FRANENGE</vt:lpstr>
      <vt:lpstr>Fev_25</vt:lpstr>
      <vt:lpstr>Fev_25 - PSAC E FRANENGE</vt:lpstr>
      <vt:lpstr>Mar_25</vt:lpstr>
      <vt:lpstr>Mar_25 - PSAC E FRANENGE</vt:lpstr>
      <vt:lpstr>Abr_25</vt:lpstr>
      <vt:lpstr>Abr_25 - PSAC E FRANENGE</vt:lpstr>
      <vt:lpstr>Mai_25</vt:lpstr>
      <vt:lpstr>Mai_25 - PSAC E FRANENGE</vt:lpstr>
      <vt:lpstr>Jun_25</vt:lpstr>
      <vt:lpstr>Jun_25 - PSAC E FRANENGE</vt:lpstr>
      <vt:lpstr>Jul_25 </vt:lpstr>
      <vt:lpstr>Jul_25 - PSAC E FRANENGE</vt:lpstr>
      <vt:lpstr>Ago_25</vt:lpstr>
      <vt:lpstr>Ago_25 - PSAC</vt:lpstr>
      <vt:lpstr>Set_25</vt:lpstr>
      <vt:lpstr>Set_25 - PSAC</vt:lpstr>
      <vt:lpstr>Out_25 </vt:lpstr>
      <vt:lpstr>Out_25 - PSAC</vt:lpstr>
      <vt:lpstr>Nov_25</vt:lpstr>
      <vt:lpstr>Nov_25 -PSAC</vt:lpstr>
      <vt:lpstr>Dez_25</vt:lpstr>
      <vt:lpstr>Dez_25 - PSAC</vt:lpstr>
      <vt:lpstr>Nov_25 -Simulação</vt:lpstr>
      <vt:lpstr>Ago_25 - UNIMED</vt:lpstr>
      <vt:lpstr>Abr_25 -JHM - Metropolitana</vt:lpstr>
      <vt:lpstr>Jan_25 SIMULAÇÃO CAPARAÓ</vt:lpstr>
      <vt:lpstr>Fev_25 - Tutor</vt:lpstr>
      <vt:lpstr>Mar_25 Simulação SOl</vt:lpstr>
      <vt:lpstr>Mar_25 Simulação SOl (2)</vt:lpstr>
      <vt:lpstr>Jun_25 - PSAC E FRANENGE (2)</vt:lpstr>
      <vt:lpstr>Set_25 (2)</vt:lpstr>
      <vt:lpstr>'Fev_25 - Tutor'!Area_de_impressao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Vanessa Mendes</dc:creator>
  <cp:keywords/>
  <dc:description/>
  <cp:lastModifiedBy>VSE - Administrador</cp:lastModifiedBy>
  <cp:revision/>
  <dcterms:created xsi:type="dcterms:W3CDTF">2025-01-24T13:47:31Z</dcterms:created>
  <dcterms:modified xsi:type="dcterms:W3CDTF">2025-12-22T18:19:48Z</dcterms:modified>
  <cp:category/>
  <cp:contentStatus/>
</cp:coreProperties>
</file>